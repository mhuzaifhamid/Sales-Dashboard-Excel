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sharedStrings.xml" ContentType="application/vnd.openxmlformats-officedocument.spreadsheetml.sharedStrings+xml"/>
  <Override PartName="/xl/slicerCaches/slicerCache1.xml" ContentType="application/vnd.ms-excel.slicerCache+xml"/>
  <Override PartName="/xl/slicers/slicer1.xml" ContentType="application/vnd.ms-excel.slicer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1915" activeTab="1"/>
  </bookViews>
  <sheets>
    <sheet name="RAW DATA" sheetId="1" r:id="rId1"/>
    <sheet name="DASHBOARD" sheetId="3" r:id="rId2"/>
  </sheets>
  <definedNames>
    <definedName name="Slicer_Region1">#N/A</definedName>
    <definedName name="_xleta.FILTER" hidden="1" xlm="1" functionGroupId="14">#NAME?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<sst xmlns="http://schemas.openxmlformats.org/spreadsheetml/2006/main" count="463" uniqueCount="306">
  <si>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</si>
  <si>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</si>
  <si>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</si>
  <si>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</si>
  <si>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</si>
  <si>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</si>
  <si>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</si>
  <si>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</si>
  <si>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</si>
  <si>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</si>
  <si>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</si>
  <si>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</si>
  <si>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EMP-1000</t>
  </si>
  <si>
    <t>Saad Bhatti</t>
  </si>
  <si>
    <t>Karachi</t>
  </si>
  <si>
    <t>EMP-1001</t>
  </si>
  <si>
    <t>Huzaifa Malik</t>
  </si>
  <si>
    <t>EMP-1002</t>
  </si>
  <si>
    <t>Naveed Rind</t>
  </si>
  <si>
    <t>Peshawar</t>
  </si>
  <si>
    <t>EMP-1003</t>
  </si>
  <si>
    <t>Yasir Ghaffar</t>
  </si>
  <si>
    <t>EMP-1004</t>
  </si>
  <si>
    <t>Mudassir Rind</t>
  </si>
  <si>
    <t>Rawalpindi</t>
  </si>
  <si>
    <t>EMP-1005</t>
  </si>
  <si>
    <t>Zain Abbasi</t>
  </si>
  <si>
    <t>Quetta</t>
  </si>
  <si>
    <t>EMP-1006</t>
  </si>
  <si>
    <t>Shayan Niazi</t>
  </si>
  <si>
    <t>EMP-1007</t>
  </si>
  <si>
    <t>Basit Soomro</t>
  </si>
  <si>
    <t>Islamabad</t>
  </si>
  <si>
    <t>EMP-1008</t>
  </si>
  <si>
    <t>Furqan Rind</t>
  </si>
  <si>
    <t>EMP-1009</t>
  </si>
  <si>
    <t>Hassan Rahman</t>
  </si>
  <si>
    <t>EMP-1010</t>
  </si>
  <si>
    <t>Asad Bhatti</t>
  </si>
  <si>
    <t>EMP-1011</t>
  </si>
  <si>
    <t>Kamran Hashmi</t>
  </si>
  <si>
    <t>EMP-1012</t>
  </si>
  <si>
    <t>Farhan Rahman</t>
  </si>
  <si>
    <t>EMP-1013</t>
  </si>
  <si>
    <t>Ahmed Qureshi</t>
  </si>
  <si>
    <t>Faisalabad</t>
  </si>
  <si>
    <t>EMP-1014</t>
  </si>
  <si>
    <t>Usama Gondal</t>
  </si>
  <si>
    <t>Lahore</t>
  </si>
  <si>
    <t>EMP-1015</t>
  </si>
  <si>
    <t>Shayan Bhatti</t>
  </si>
  <si>
    <t>EMP-1016</t>
  </si>
  <si>
    <t>Imran Saleem</t>
  </si>
  <si>
    <t>Multan</t>
  </si>
  <si>
    <t>EMP-1017</t>
  </si>
  <si>
    <t>Hamza Jutt</t>
  </si>
  <si>
    <t>EMP-1018</t>
  </si>
  <si>
    <t>Junaid Malik</t>
  </si>
  <si>
    <t>EMP-1019</t>
  </si>
  <si>
    <t>Yasir Hashmi</t>
  </si>
  <si>
    <t>EMP-1020</t>
  </si>
  <si>
    <t>Kamran Baloch</t>
  </si>
  <si>
    <t>EMP-1021</t>
  </si>
  <si>
    <t>Noman Rahman</t>
  </si>
  <si>
    <t>EMP-1022</t>
  </si>
  <si>
    <t>Adeel Ansari</t>
  </si>
  <si>
    <t>EMP-1023</t>
  </si>
  <si>
    <t>Irfan Sheikh</t>
  </si>
  <si>
    <t>EMP-1024</t>
  </si>
  <si>
    <t>Adeel Baloch</t>
  </si>
  <si>
    <t>EMP-1025</t>
  </si>
  <si>
    <t>Shayan Akhtar</t>
  </si>
  <si>
    <t>EMP-1026</t>
  </si>
  <si>
    <t>Kashif Sheikh</t>
  </si>
  <si>
    <t>EMP-1027</t>
  </si>
  <si>
    <t>Noman Chaudhry</t>
  </si>
  <si>
    <t>EMP-1028</t>
  </si>
  <si>
    <t>Bilal Soomro</t>
  </si>
  <si>
    <t>EMP-1029</t>
  </si>
  <si>
    <t>Sohail Ansari</t>
  </si>
  <si>
    <t>EMP-1030</t>
  </si>
  <si>
    <t>Kamran Khan</t>
  </si>
  <si>
    <t>EMP-1031</t>
  </si>
  <si>
    <t>Hamza Qureshi</t>
  </si>
  <si>
    <t>EMP-1032</t>
  </si>
  <si>
    <t>Rehan Akhtar</t>
  </si>
  <si>
    <t>EMP-1033</t>
  </si>
  <si>
    <t>Rauf Soomro</t>
  </si>
  <si>
    <t>EMP-1034</t>
  </si>
  <si>
    <t>Asad Gondal</t>
  </si>
  <si>
    <t>EMP-1035</t>
  </si>
  <si>
    <t>Haroon Jutt</t>
  </si>
  <si>
    <t>EMP-1036</t>
  </si>
  <si>
    <t>Imran Butt</t>
  </si>
  <si>
    <t>EMP-1037</t>
  </si>
  <si>
    <t>Kashif Chaudhry</t>
  </si>
  <si>
    <t>EMP-1038</t>
  </si>
  <si>
    <t>Hassan Baloch</t>
  </si>
  <si>
    <t>EMP-1039</t>
  </si>
  <si>
    <t>Noman Soomro</t>
  </si>
  <si>
    <t>EMP-1040</t>
  </si>
  <si>
    <t>Usama Raja</t>
  </si>
  <si>
    <t>EMP-1041</t>
  </si>
  <si>
    <t>Waqas Abbasi</t>
  </si>
  <si>
    <t>EMP-1042</t>
  </si>
  <si>
    <t>Abbas Jutt</t>
  </si>
  <si>
    <t>EMP-1043</t>
  </si>
  <si>
    <t>Naveed Mughal</t>
  </si>
  <si>
    <t>EMP-1044</t>
  </si>
  <si>
    <t>Shafqat Shah</t>
  </si>
  <si>
    <t>EMP-1045</t>
  </si>
  <si>
    <t>Waqas Ghaffar</t>
  </si>
  <si>
    <t>EMP-1046</t>
  </si>
  <si>
    <t>Faisal Naseer</t>
  </si>
  <si>
    <t>EMP-1047</t>
  </si>
  <si>
    <t>Huzaifa Hussain</t>
  </si>
  <si>
    <t>EMP-1048</t>
  </si>
  <si>
    <t>Shahzaib Mirza</t>
  </si>
  <si>
    <t>EMP-1049</t>
  </si>
  <si>
    <t>Irfan Ansari</t>
  </si>
  <si>
    <t>EMP-1050</t>
  </si>
  <si>
    <t>Imran Shafiq</t>
  </si>
  <si>
    <t>EMP-1051</t>
  </si>
  <si>
    <t>Imran Ghaffar</t>
  </si>
  <si>
    <t>EMP-1052</t>
  </si>
  <si>
    <t>Adeel Khan</t>
  </si>
  <si>
    <t>EMP-1053</t>
  </si>
  <si>
    <t>Haroon Shah</t>
  </si>
  <si>
    <t>EMP-1054</t>
  </si>
  <si>
    <t>Kamran Shah</t>
  </si>
  <si>
    <t>EMP-1055</t>
  </si>
  <si>
    <t>Shehzad Yousaf</t>
  </si>
  <si>
    <t>EMP-1056</t>
  </si>
  <si>
    <t>Shehzad Malik</t>
  </si>
  <si>
    <t>EMP-1057</t>
  </si>
  <si>
    <t>Imran Iqbal</t>
  </si>
  <si>
    <t>EMP-1058</t>
  </si>
  <si>
    <t>Hamza Naseer</t>
  </si>
  <si>
    <t>EMP-1059</t>
  </si>
  <si>
    <t>Mudassir Niazi</t>
  </si>
  <si>
    <t>EMP-1060</t>
  </si>
  <si>
    <t>Hassan Chaudhry</t>
  </si>
  <si>
    <t>EMP-1061</t>
  </si>
  <si>
    <t>Talha Soomro</t>
  </si>
  <si>
    <t>EMP-1062</t>
  </si>
  <si>
    <t>Furqan Saleem</t>
  </si>
  <si>
    <t>EMP-1063</t>
  </si>
  <si>
    <t>Noman Mirza</t>
  </si>
  <si>
    <t>EMP-1064</t>
  </si>
  <si>
    <t>Zubair Jutt</t>
  </si>
  <si>
    <t>EMP-1065</t>
  </si>
  <si>
    <t>Ahmed Ghaffar</t>
  </si>
  <si>
    <t>EMP-1066</t>
  </si>
  <si>
    <t>Saqib Awan</t>
  </si>
  <si>
    <t>EMP-1067</t>
  </si>
  <si>
    <t>Asad Mughal</t>
  </si>
  <si>
    <t>EMP-1068</t>
  </si>
  <si>
    <t>Shehzad Rind</t>
  </si>
  <si>
    <t>EMP-1069</t>
  </si>
  <si>
    <t>Saad Shah</t>
  </si>
  <si>
    <t>EMP-1070</t>
  </si>
  <si>
    <t>Bilal Raja</t>
  </si>
  <si>
    <t>EMP-1071</t>
  </si>
  <si>
    <t>Mudassir Butt</t>
  </si>
  <si>
    <t>EMP-1072</t>
  </si>
  <si>
    <t>Adeel Malik</t>
  </si>
  <si>
    <t>EMP-1073</t>
  </si>
  <si>
    <t>Shayan Butt</t>
  </si>
  <si>
    <t>EMP-1074</t>
  </si>
  <si>
    <t>Abbas Butt</t>
  </si>
  <si>
    <t>EMP-1075</t>
  </si>
  <si>
    <t>Tariq Naseer</t>
  </si>
  <si>
    <t>EMP-1076</t>
  </si>
  <si>
    <t>Shafqat Akhtar</t>
  </si>
  <si>
    <t>EMP-1077</t>
  </si>
  <si>
    <t>Zubair Shah</t>
  </si>
  <si>
    <t>EMP-1078</t>
  </si>
  <si>
    <t>Shayan Naseer</t>
  </si>
  <si>
    <t>EMP-1079</t>
  </si>
  <si>
    <t>Haroon Rind</t>
  </si>
  <si>
    <t>EMP-1080</t>
  </si>
  <si>
    <t>Shayan Abbasi</t>
  </si>
  <si>
    <t>EMP-1081</t>
  </si>
  <si>
    <t>Shayan Ghaffar</t>
  </si>
  <si>
    <t>EMP-1082</t>
  </si>
  <si>
    <t>Usama Saleem</t>
  </si>
  <si>
    <t>EMP-1083</t>
  </si>
  <si>
    <t>Noman Hussain</t>
  </si>
  <si>
    <t>EMP-1084</t>
  </si>
  <si>
    <t>Bilal Gondal</t>
  </si>
  <si>
    <t>EMP-1085</t>
  </si>
  <si>
    <t>Saqib Butt</t>
  </si>
  <si>
    <t>EMP-1086</t>
  </si>
  <si>
    <t>Danish Sheikh</t>
  </si>
  <si>
    <t>EMP-1087</t>
  </si>
  <si>
    <t>Adeel Ghaffar</t>
  </si>
  <si>
    <t>EMP-1088</t>
  </si>
  <si>
    <t>Hassan Soomro</t>
  </si>
  <si>
    <t>EMP-1089</t>
  </si>
  <si>
    <t>Abbas Baloch</t>
  </si>
  <si>
    <t>EMP-1090</t>
  </si>
  <si>
    <t>Faisal Malik</t>
  </si>
  <si>
    <t>EMP-1091</t>
  </si>
  <si>
    <t>Faisal Qureshi</t>
  </si>
  <si>
    <t>EMP-1092</t>
  </si>
  <si>
    <t>Rashid Ansari</t>
  </si>
  <si>
    <t>EMP-1093</t>
  </si>
  <si>
    <t>Hassan Khan</t>
  </si>
  <si>
    <t>EMP-1094</t>
  </si>
  <si>
    <t>Hassan Ansari</t>
  </si>
  <si>
    <t>EMP-1095</t>
  </si>
  <si>
    <t>Huzaifa Hashmi</t>
  </si>
  <si>
    <t>EMP-1096</t>
  </si>
  <si>
    <t>Danish Akhtar</t>
  </si>
  <si>
    <t>EMP-1097</t>
  </si>
  <si>
    <t>Rehan Hashmi</t>
  </si>
  <si>
    <t>EMP-1098</t>
  </si>
  <si>
    <t>Faisal Mughal</t>
  </si>
  <si>
    <t>EMP-1099</t>
  </si>
  <si>
    <t>Irfan Chaudhry</t>
  </si>
  <si>
    <t>EMP-1100</t>
  </si>
  <si>
    <t>Rashid Rind</t>
  </si>
  <si>
    <t>EMP-1101</t>
  </si>
  <si>
    <t>Talha Saleem</t>
  </si>
  <si>
    <t>EMP-1102</t>
  </si>
  <si>
    <t>Kamran Bhatti</t>
  </si>
  <si>
    <t>EMP-1103</t>
  </si>
  <si>
    <t>Shafqat Abbasi</t>
  </si>
  <si>
    <t>EMP-1104</t>
  </si>
  <si>
    <t>Adnan Rind</t>
  </si>
  <si>
    <t>EMP-1105</t>
  </si>
  <si>
    <t>Ahmed Ansari</t>
  </si>
  <si>
    <t>EMP-1106</t>
  </si>
  <si>
    <t>Kashif Mirza</t>
  </si>
  <si>
    <t>EMP-1107</t>
  </si>
  <si>
    <t>Kashif Raja</t>
  </si>
  <si>
    <t>EMP-1108</t>
  </si>
  <si>
    <t>Ahmed Mughal</t>
  </si>
  <si>
    <t>EMP-1109</t>
  </si>
  <si>
    <t>Sohail Jutt</t>
  </si>
  <si>
    <t>EMP-1110</t>
  </si>
  <si>
    <t>Tariq Butt</t>
  </si>
  <si>
    <t>EMP-1111</t>
  </si>
  <si>
    <t>Farhan Soomro</t>
  </si>
  <si>
    <t>EMP-1112</t>
  </si>
  <si>
    <t>Noman Naseer</t>
  </si>
  <si>
    <t>EMP-1113</t>
  </si>
  <si>
    <t>Hamza Shafiq</t>
  </si>
  <si>
    <t>EMP-1114</t>
  </si>
  <si>
    <t>Noman Iqbal</t>
  </si>
  <si>
    <t>EMP-1115</t>
  </si>
  <si>
    <t>Sohail Abbasi</t>
  </si>
  <si>
    <t>EMP-1116</t>
  </si>
  <si>
    <t>Rashid Ghaffar</t>
  </si>
  <si>
    <t>EMP-1117</t>
  </si>
  <si>
    <t>Sohail Baloch</t>
  </si>
  <si>
    <t>EMP-1118</t>
  </si>
  <si>
    <t>Basit Chaudhry</t>
  </si>
  <si>
    <t>EMP-1119</t>
  </si>
  <si>
    <t>Mudassir Soomro</t>
  </si>
  <si>
    <t>EMP-1120</t>
  </si>
  <si>
    <t>Zain Chaudhry</t>
  </si>
  <si>
    <t>EMP-1121</t>
  </si>
  <si>
    <t>Ahmed Shah</t>
  </si>
  <si>
    <t>EMP-1122</t>
  </si>
  <si>
    <t>Ahmed Raja</t>
  </si>
  <si>
    <t>EMP-1123</t>
  </si>
  <si>
    <t>Shahzaib Iqbal</t>
  </si>
  <si>
    <t>EMP-1124</t>
  </si>
  <si>
    <t>Rauf Gondal</t>
  </si>
  <si>
    <t>EMP-1125</t>
  </si>
  <si>
    <t>Rehan Hussain</t>
  </si>
  <si>
    <t>EMP-1126</t>
  </si>
  <si>
    <t>Ahmed Khan</t>
  </si>
  <si>
    <t>EMP-1127</t>
  </si>
  <si>
    <t>Irfan Raja</t>
  </si>
  <si>
    <t>EMP-1128</t>
  </si>
  <si>
    <t>Junaid Abbasi</t>
  </si>
  <si>
    <t>EMP-1129</t>
  </si>
  <si>
    <t>Furqan Shah</t>
  </si>
  <si>
    <t>EMP-1130</t>
  </si>
  <si>
    <t>Mudassir Malik</t>
  </si>
  <si>
    <t>EMP-1131</t>
  </si>
  <si>
    <t>Tariq Shah</t>
  </si>
  <si>
    <t>EMP-1132</t>
  </si>
  <si>
    <t>Sohail Khan</t>
  </si>
  <si>
    <t>EMP-1133</t>
  </si>
  <si>
    <t>Zubair Hussain</t>
  </si>
  <si>
    <t>EMP-1134</t>
  </si>
  <si>
    <t>Bilal Akhtar</t>
  </si>
  <si>
    <t>EMP-1135</t>
  </si>
  <si>
    <t>Zain Raja</t>
  </si>
  <si>
    <t>EMP-1136</t>
  </si>
  <si>
    <t>Noman Yousaf</t>
  </si>
  <si>
    <t>EMP-1137</t>
  </si>
  <si>
    <t>Sohail Bhatti</t>
  </si>
  <si>
    <t>EMP-1138</t>
  </si>
  <si>
    <t>Naveed Akhtar</t>
  </si>
  <si>
    <t>EMP-1139</t>
  </si>
  <si>
    <t>Afzal Hussain</t>
  </si>
  <si>
    <t>EMP-1140</t>
  </si>
  <si>
    <t>Abdul Hamid</t>
  </si>
  <si>
    <t>Total Sales (Top)</t>
  </si>
  <si>
    <t>Total Sales (Bottom)</t>
  </si>
  <si>
    <t xml:space="preserve">Target Hit % </t>
  </si>
  <si>
    <t xml:space="preserve">Away From Target %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</si>
</sst>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7">
    <font>
      <sz val="11"/>
      <color theme="1"/>
      <name val="Calibri"/>
      <charset val="134"/>
      <scheme val="minor"/>
    </font>
    <font>
      <sz val="11"/>
      <color theme="2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name val="Calibri"/>
      <charset val="134"/>
      <scheme val="minor"/>
    </font>
    <font>
      <b/>
      <sz val="10"/>
      <name val="Calibri"/>
      <charset val="134"/>
      <scheme val="minor"/>
    </font>
    <font>
      <sz val="10"/>
      <color theme="1"/>
      <name val="Calibri"/>
      <charset val="134"/>
      <scheme val="minor"/>
    </font>
    <font>
      <sz val="10"/>
      <color rgb="FF00000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6" borderId="3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7" borderId="6" applyNumberFormat="0" applyAlignment="0" applyProtection="0">
      <alignment vertical="center"/>
    </xf>
    <xf numFmtId="0" fontId="17" fillId="8" borderId="7" applyNumberFormat="0" applyAlignment="0" applyProtection="0">
      <alignment vertical="center"/>
    </xf>
    <xf numFmtId="0" fontId="18" fillId="8" borderId="6" applyNumberFormat="0" applyAlignment="0" applyProtection="0">
      <alignment vertical="center"/>
    </xf>
    <xf numFmtId="0" fontId="19" fillId="9" borderId="8" applyNumberFormat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/>
    <xf numFmtId="0" fontId="2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ont="1" applyFill="1" applyAlignment="1"/>
    <xf numFmtId="0" fontId="4" fillId="4" borderId="2" xfId="0" applyFont="1" applyFill="1" applyBorder="1" applyAlignment="1"/>
    <xf numFmtId="0" fontId="5" fillId="4" borderId="2" xfId="0" applyFont="1" applyFill="1" applyBorder="1" applyAlignment="1">
      <alignment horizontal="center" vertical="center"/>
    </xf>
    <xf numFmtId="0" fontId="0" fillId="5" borderId="2" xfId="0" applyFont="1" applyFill="1" applyBorder="1" applyAlignment="1"/>
    <xf numFmtId="0" fontId="6" fillId="5" borderId="2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10" fontId="7" fillId="5" borderId="2" xfId="3" applyNumberFormat="1" applyFont="1" applyFill="1" applyBorder="1" applyAlignment="1">
      <alignment horizontal="center" vertical="center"/>
    </xf>
    <xf numFmtId="10" fontId="7" fillId="5" borderId="2" xfId="0" applyNumberFormat="1" applyFont="1" applyFill="1" applyBorder="1" applyAlignment="1">
      <alignment horizontal="center" vertical="center"/>
    </xf>
    <xf numFmtId="9" fontId="0" fillId="5" borderId="2" xfId="0" applyNumberFormat="1" applyFont="1" applyFill="1" applyBorder="1" applyAlignment="1"/>
    <xf numFmtId="9" fontId="0" fillId="0" borderId="0" xfId="0" applyNumberFormat="1" applyFont="1" applyFill="1" applyAlignment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76"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1"/>
      </font>
    </dxf>
    <dxf>
      <font>
        <b val="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8" formatCode="0&quot;%&quot;"/>
    </dxf>
    <dxf>
      <border>
        <left style="thin">
          <color indexed="0"/>
        </left>
        <right style="thin">
          <color indexed="0"/>
        </right>
        <top style="thin">
          <color indexed="0"/>
        </top>
        <bottom style="thin">
          <color indexed="0"/>
        </bottom>
      </border>
    </dxf>
    <dxf/>
    <dxf>
      <numFmt numFmtId="10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1"/>
      </font>
    </dxf>
    <dxf>
      <font>
        <b val="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0" formatCode="0.00%"/>
    </dxf>
    <dxf>
      <numFmt numFmtId="179" formatCode="0&quot;%&quot;"/>
    </dxf>
    <dxf>
      <border>
        <left style="thin">
          <color indexed="0"/>
        </left>
        <right style="thin">
          <color indexed="0"/>
        </right>
        <top style="thin">
          <color indexed="0"/>
        </top>
        <bottom style="thin">
          <color indexed="0"/>
        </bottom>
      </border>
    </dxf>
    <dxf/>
    <dxf>
      <numFmt numFmtId="10" formatCode="0.00%"/>
    </dxf>
    <dxf>
      <font>
        <b val="1"/>
      </font>
    </dxf>
    <dxf>
      <font>
        <b val="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0"/>
        </left>
        <right style="thin">
          <color indexed="0"/>
        </right>
        <top style="thin">
          <color indexed="0"/>
        </top>
        <bottom style="thin">
          <color indexed="0"/>
        </bottom>
      </border>
    </dxf>
    <dxf/>
    <dxf>
      <font>
        <b val="1"/>
      </font>
    </dxf>
    <dxf>
      <font>
        <b val="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0"/>
        </left>
        <right style="thin">
          <color indexed="0"/>
        </right>
        <top style="thin">
          <color indexed="0"/>
        </top>
        <bottom style="thin">
          <color indexed="0"/>
        </bottom>
      </border>
    </dxf>
    <dxf/>
    <dxf>
      <fill>
        <patternFill patternType="solid">
          <bgColor theme="0" tint="-0.14996795556505"/>
        </patternFill>
      </fill>
    </dxf>
    <dxf>
      <fill>
        <patternFill patternType="solid">
          <bgColor theme="0" tint="-0.14996795556505"/>
        </patternFill>
      </fill>
    </dxf>
    <dxf>
      <fill>
        <patternFill patternType="solid">
          <bgColor theme="1" tint="0.349986266670736"/>
        </patternFill>
      </fill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b val="1"/>
        <color theme="1"/>
      </font>
    </dxf>
    <dxf>
      <font>
        <b val="1"/>
      </font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fill>
        <patternFill patternType="solid">
          <fgColor theme="4" tint="0.599993896298105"/>
          <bgColor theme="4" tint="0.599993896298105"/>
        </patternFill>
      </fill>
      <border>
        <vertical style="thin">
          <color theme="0"/>
        </vertical>
      </border>
    </dxf>
    <dxf>
      <font>
        <b val="1"/>
        <color theme="0"/>
      </font>
      <fill>
        <patternFill patternType="solid">
          <fgColor theme="8"/>
          <bgColor theme="8"/>
        </patternFill>
      </fill>
    </dxf>
    <dxf>
      <font>
        <b val="1"/>
        <color theme="1"/>
      </font>
    </dxf>
    <dxf>
      <font>
        <b val="1"/>
      </font>
    </dxf>
    <dxf>
      <fill>
        <patternFill patternType="solid">
          <fgColor theme="8" tint="0.799981688894314"/>
          <bgColor theme="8" tint="0.799981688894314"/>
        </patternFill>
      </fill>
    </dxf>
    <dxf>
      <fill>
        <patternFill patternType="solid">
          <fgColor theme="8" tint="0.799981688894314"/>
          <bgColor theme="8" tint="0.799981688894314"/>
        </patternFill>
      </fill>
    </dxf>
    <dxf>
      <font>
        <b val="1"/>
        <color theme="0"/>
      </font>
      <fill>
        <patternFill patternType="solid">
          <fgColor theme="8"/>
          <bgColor theme="8"/>
        </patternFill>
      </fill>
    </dxf>
    <dxf>
      <font>
        <color theme="1"/>
      </font>
      <fill>
        <patternFill patternType="solid">
          <fgColor theme="8" tint="0.599993896298105"/>
          <bgColor theme="8" tint="0.599993896298105"/>
        </patternFill>
      </fill>
      <border>
        <vertical style="thin">
          <color theme="0"/>
        </vertical>
      </border>
    </dxf>
  </dxfs>
  <tableStyles count="5" defaultTableStyle="TableStyleMedium2" defaultPivotStyle="PivotStyleLight16">
    <tableStyle name="Slicer Style 1" pivot="0" table="0" count="5" xr9:uid="{20A1BCBA-943F-4ABF-8FEF-04ABB8FFE8F6}">
      <tableStyleElement type="wholeTable" dxfId="59"/>
    </tableStyle>
    <tableStyle name="Slicer Style 1 2" pivot="0" table="0" count="5" xr9:uid="{A197BB72-E06A-4115-AA33-E9AAFBB7BE13}">
      <tableStyleElement type="wholeTable" dxfId="60"/>
    </tableStyle>
    <tableStyle name="Slicer Style 2" pivot="0" table="0" count="5" xr9:uid="{03504AFE-F137-438A-85DC-A4BB078DED31}">
      <tableStyleElement type="wholeTable" dxfId="61"/>
    </tableStyle>
    <tableStyle name="PivotStylePreset6_Accent1" table="0" count="7" xr9:uid="{C14D74E0-0E90-48FA-A4CF-29A2662E7F7C}">
      <tableStyleElement type="wholeTable" dxfId="68"/>
      <tableStyleElement type="firstColumn" dxfId="67"/>
      <tableStyleElement type="firstRowStripe" dxfId="66"/>
      <tableStyleElement type="firstColumnStripe" dxfId="65"/>
      <tableStyleElement type="firstSubtotalColumn" dxfId="64"/>
      <tableStyleElement type="firstSubtotalRow" dxfId="63"/>
      <tableStyleElement type="pageFieldLabels" dxfId="62"/>
    </tableStyle>
    <tableStyle name="PivotStylePreset6_Accent5" table="0" count="7" xr9:uid="{0751B098-DE33-45E1-9DD7-424CB58396BF}">
      <tableStyleElement type="wholeTable" dxfId="75"/>
      <tableStyleElement type="firstColumn" dxfId="74"/>
      <tableStyleElement type="firstRowStripe" dxfId="73"/>
      <tableStyleElement type="firstColumnStripe" dxfId="72"/>
      <tableStyleElement type="firstSubtotalColumn" dxfId="71"/>
      <tableStyleElement type="firstSubtotalRow" dxfId="70"/>
      <tableStyleElement type="pageFieldLabels" dxfId="69"/>
    </tableStyle>
  </tableStyles>
  <extLst>
    <ext xmlns:x14="http://schemas.microsoft.com/office/spreadsheetml/2009/9/main" uri="{46F421CA-312F-682f-3DD2-61675219B42D}">
      <x14:dxfs count="12">
        <dxf>
          <fill>
            <patternFill patternType="solid">
              <bgColor rgb="FF92D050"/>
            </patternFill>
          </fill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bgColor theme="0"/>
            </patternFill>
          </fill>
        </dxf>
        <dxf>
          <font>
            <color auto="1"/>
          </font>
          <fill>
            <patternFill patternType="solid">
              <bgColor theme="0" tint="-0.0499893185216834"/>
            </patternFill>
          </fill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bgColor theme="7" tint="0.599963377788629"/>
            </patternFill>
          </fill>
        </dxf>
        <dxf>
          <fill>
            <patternFill patternType="solid">
              <bgColor theme="4" tint="0.399945066682943"/>
            </patternFill>
          </fill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bgColor theme="0"/>
            </patternFill>
          </fill>
          <border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bgColor theme="1" tint="0.249946592608417"/>
            </patternFill>
          </fill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bgColor theme="7" tint="0.599963377788629"/>
            </patternFill>
          </fill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bgColor rgb="FFFF0000"/>
            </patternFill>
          </fill>
        </dxf>
        <dxf>
          <fill>
            <patternFill patternType="solid">
              <bgColor rgb="FF7030A0"/>
            </patternFill>
          </fill>
        </dxf>
        <dxf>
          <fill>
            <patternFill patternType="solid">
              <bgColor rgb="FF92D050"/>
            </patternFill>
          </fill>
        </dxf>
        <dxf>
          <fill>
            <patternFill patternType="solid">
              <bgColor theme="5" tint="-0.249946592608417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  <x14:slicerStyle name="Slicer Style 1 2">
          <x14:slicerStyleElements>
            <x14:slicerStyleElement type="unselectedItemWithData" dxfId="7"/>
            <x14:slicerStyleElement type="selectedItemWithData" dxfId="6"/>
            <x14:slicerStyleElement type="hoveredUnselectedItemWithData" dxfId="5"/>
            <x14:slicerStyleElement type="hoveredSelectedItemWithData" dxfId="4"/>
          </x14:slicerStyleElements>
        </x14:slicerStyle>
        <x14:slicerStyle name="Slicer Style 2">
          <x14:slicerStyleElements>
            <x14:slicerStyleElement type="unselectedItemWithData" dxfId="11"/>
            <x14:slicerStyleElement type="selectedItemWithData" dxfId="10"/>
            <x14:slicerStyleElement type="hoveredUnselectedItemWithData" dxfId="9"/>
            <x14:slicerStyleElement type="hoveredSelectedItemWithData" dxfId="8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 Project.xlsm]DASHBOARD!PivotTable1</c:name>
    <c:fmtId val="2"/>
  </c:pivotSource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hueOff val="-1670000"/>
                  </a:schemeClr>
                </a:gs>
              </a:gsLst>
              <a:lin ang="10800000" scaled="0"/>
            </a:gradFill>
            <a:ln>
              <a:gradFill>
                <a:gsLst>
                  <a:gs pos="95000">
                    <a:schemeClr val="accent1">
                      <a:lumMod val="75000"/>
                    </a:schemeClr>
                  </a:gs>
                  <a:gs pos="0">
                    <a:schemeClr val="accent1">
                      <a:lumMod val="75000"/>
                      <a:hueOff val="-1670000"/>
                    </a:schemeClr>
                  </a:gs>
                </a:gsLst>
                <a:lin ang="10800000" scaled="0"/>
              </a:gra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DASHBOARD!$A$4:$A$8</c:f>
              <c:strCache>
                <c:ptCount val="5"/>
                <c:pt idx="0">
                  <c:v>Saad Bhatti</c:v>
                </c:pt>
                <c:pt idx="1">
                  <c:v>Kamran Hashmi</c:v>
                </c:pt>
                <c:pt idx="2">
                  <c:v>Kashif Sheikh</c:v>
                </c:pt>
                <c:pt idx="3">
                  <c:v>Shahzaib Mirza</c:v>
                </c:pt>
                <c:pt idx="4">
                  <c:v>Imran Shafiq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5"/>
                <c:pt idx="0">
                  <c:v>339</c:v>
                </c:pt>
                <c:pt idx="1">
                  <c:v>376</c:v>
                </c:pt>
                <c:pt idx="2">
                  <c:v>357</c:v>
                </c:pt>
                <c:pt idx="3">
                  <c:v>292</c:v>
                </c:pt>
                <c:pt idx="4">
                  <c:v>270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40"/>
        <c:axId val="116889007"/>
        <c:axId val="116891407"/>
      </c:barChart>
      <c:catAx>
        <c:axId val="1168890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6891407"/>
        <c:crosses val="autoZero"/>
        <c:auto val="1"/>
        <c:lblAlgn val="ctr"/>
        <c:lblOffset val="100"/>
        <c:noMultiLvlLbl val="0"/>
      </c:catAx>
      <c:valAx>
        <c:axId val="1168914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6889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5f7d8d2b-df01-46a7-bb96-6787f386b1c8}"/>
      </c:ext>
    </c:extLst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[Dashboard Project.xlsm]DASHBOARD!PivotTable4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84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0800" dist="25400" dir="5400000" algn="t" rotWithShape="0">
                <a:schemeClr val="accent2">
                  <a:lumMod val="50000"/>
                  <a:alpha val="30000"/>
                </a:schemeClr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DASHBOARD!$J$4:$J$8</c:f>
              <c:strCache>
                <c:ptCount val="5"/>
                <c:pt idx="0">
                  <c:v>Huzaifa Malik</c:v>
                </c:pt>
                <c:pt idx="1">
                  <c:v>Furqan Rind</c:v>
                </c:pt>
                <c:pt idx="2">
                  <c:v>Adeel Malik</c:v>
                </c:pt>
                <c:pt idx="3">
                  <c:v>Shayan Ghaffar</c:v>
                </c:pt>
                <c:pt idx="4">
                  <c:v>Ahmed Raja</c:v>
                </c:pt>
              </c:strCache>
            </c:strRef>
          </c:cat>
          <c:val>
            <c:numRef>
              <c:f>DASHBOARD!$K$4:$K$8</c:f>
              <c:numCache>
                <c:formatCode>0.00%</c:formatCode>
                <c:ptCount val="5"/>
                <c:pt idx="0">
                  <c:v>0.522</c:v>
                </c:pt>
                <c:pt idx="1">
                  <c:v>0.622</c:v>
                </c:pt>
                <c:pt idx="2">
                  <c:v>0.714</c:v>
                </c:pt>
                <c:pt idx="3">
                  <c:v>0.582</c:v>
                </c:pt>
                <c:pt idx="4">
                  <c:v>0.552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46255"/>
        <c:axId val="579046735"/>
      </c:lineChart>
      <c:catAx>
        <c:axId val="57904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9046735"/>
        <c:crosses val="autoZero"/>
        <c:auto val="1"/>
        <c:lblAlgn val="ctr"/>
        <c:lblOffset val="100"/>
        <c:noMultiLvlLbl val="0"/>
      </c:catAx>
      <c:valAx>
        <c:axId val="57904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90462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9827d9fb-0f7f-45f0-83e9-be6aa6c3c3e9}"/>
      </c:ext>
    </c:extLst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700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Project.xlsm]DASHBOARD!PivotTable3</c:name>
    <c:fmtId val="2"/>
  </c:pivotSource>
  <c:chart>
    <c:autoTitleDeleted val="1"/>
    <c:plotArea>
      <c:layout/>
      <c:pieChart>
        <c:varyColors val="1"/>
        <c:ser>
          <c:idx val="0"/>
          <c:order val="0"/>
          <c:tx>
            <c:strRef>
              <c:f>DASHBOARD!$H$3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/>
            </c:spPr>
          </c:dPt>
          <c:dLbls>
            <c:spPr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  <a:effectLst/>
              <a:sp3d>
                <a:extrusionClr>
                  <a:srgbClr val="FFFFFF"/>
                </a:extrusionClr>
                <a:contourClr>
                  <a:srgbClr val="FFFFFF"/>
                </a:contourClr>
              </a:sp3d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DASHBOARD!$G$4:$G$8</c:f>
              <c:strCache>
                <c:ptCount val="5"/>
                <c:pt idx="0">
                  <c:v>Saad Bhatti</c:v>
                </c:pt>
                <c:pt idx="1">
                  <c:v>Kamran Hashmi</c:v>
                </c:pt>
                <c:pt idx="2">
                  <c:v>Kashif Sheikh</c:v>
                </c:pt>
                <c:pt idx="3">
                  <c:v>Shahzaib Mirza</c:v>
                </c:pt>
                <c:pt idx="4">
                  <c:v>Imran Shafiq</c:v>
                </c:pt>
              </c:strCache>
            </c:strRef>
          </c:cat>
          <c:val>
            <c:numRef>
              <c:f>DASHBOARD!$H$4:$H$8</c:f>
              <c:numCache>
                <c:formatCode>0.00%</c:formatCode>
                <c:ptCount val="5"/>
                <c:pt idx="0">
                  <c:v>0.678</c:v>
                </c:pt>
                <c:pt idx="1">
                  <c:v>0.752</c:v>
                </c:pt>
                <c:pt idx="2">
                  <c:v>0.714</c:v>
                </c:pt>
                <c:pt idx="3">
                  <c:v>0.584</c:v>
                </c:pt>
                <c:pt idx="4">
                  <c:v>0.54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8080692956462"/>
          <c:y val="0.218493952399532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9dc7e4d5-dc42-4379-87c3-565fd98ed94a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Project.xlsm]DASHBOARD!PivotTable2</c:name>
    <c:fmtId val="0"/>
  </c:pivotSource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DASHBOARD!$E$3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90000">
                  <a:schemeClr val="accent1"/>
                </a:gs>
              </a:gsLst>
              <a:lin ang="10800000" scaled="0"/>
            </a:gradFill>
            <a:ln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75000"/>
                    </a:schemeClr>
                  </a:gs>
                </a:gsLst>
                <a:lin ang="10800000" scaled="0"/>
              </a:gradFill>
            </a:ln>
            <a:effectLst/>
          </c:spPr>
          <c:dLbls>
            <c:delete val="1"/>
          </c:dLbls>
          <c:cat>
            <c:strRef>
              <c:f>DASHBOARD!$D$4:$D$8</c:f>
              <c:strCache>
                <c:ptCount val="5"/>
                <c:pt idx="0">
                  <c:v>Huzaifa Malik</c:v>
                </c:pt>
                <c:pt idx="1">
                  <c:v>Furqan Rind</c:v>
                </c:pt>
                <c:pt idx="2">
                  <c:v>Adeel Malik</c:v>
                </c:pt>
                <c:pt idx="3">
                  <c:v>Shayan Ghaffar</c:v>
                </c:pt>
                <c:pt idx="4">
                  <c:v>Ahmed Raja</c:v>
                </c:pt>
              </c:strCache>
            </c:strRef>
          </c:cat>
          <c:val>
            <c:numRef>
              <c:f>DASHBOARD!$E$4:$E$8</c:f>
              <c:numCache>
                <c:formatCode>General</c:formatCode>
                <c:ptCount val="5"/>
                <c:pt idx="0">
                  <c:v>239</c:v>
                </c:pt>
                <c:pt idx="1">
                  <c:v>189</c:v>
                </c:pt>
                <c:pt idx="2">
                  <c:v>143</c:v>
                </c:pt>
                <c:pt idx="3">
                  <c:v>209</c:v>
                </c:pt>
                <c:pt idx="4">
                  <c:v>224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2493"/>
        <c:axId val="65444471"/>
      </c:areaChart>
      <c:catAx>
        <c:axId val="2244249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5444471"/>
        <c:crosses val="autoZero"/>
        <c:auto val="1"/>
        <c:lblAlgn val="ctr"/>
        <c:lblOffset val="100"/>
        <c:noMultiLvlLbl val="0"/>
      </c:catAx>
      <c:valAx>
        <c:axId val="65444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442493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  <c:extLst>
      <c:ext uri="{0b15fc19-7d7d-44ad-8c2d-2c3a37ce22c3}">
        <chartProps xmlns="https://web.wps.cn/et/2018/main" chartId="{1d7b2b23-6d5a-41ff-965b-98a61d248c2e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125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10800000" scaled="0"/>
      </a:gradFill>
      <a:ln>
        <a:gradFill>
          <a:gsLst>
            <a:gs pos="95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1080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3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  <a:round/>
      </a:ln>
      <a:effectLst>
        <a:outerShdw blurRad="50800" dist="25400" dir="5400000" algn="t" rotWithShape="0">
          <a:schemeClr val="phClr">
            <a:lumMod val="50000"/>
            <a:alpha val="30000"/>
          </a:schemeClr>
        </a:outerShdw>
      </a:effectLst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08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solidFill>
          <a:schemeClr val="bg1"/>
        </a:soli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1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108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1080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8</xdr:row>
      <xdr:rowOff>22757</xdr:rowOff>
    </xdr:from>
    <xdr:to>
      <xdr:col>2</xdr:col>
      <xdr:colOff>0</xdr:colOff>
      <xdr:row>16</xdr:row>
      <xdr:rowOff>166688</xdr:rowOff>
    </xdr:to>
    <xdr:graphicFrame>
      <xdr:nvGraphicFramePr>
        <xdr:cNvPr id="2" name="Chart 1"/>
        <xdr:cNvGraphicFramePr/>
      </xdr:nvGraphicFramePr>
      <xdr:xfrm>
        <a:off x="0" y="1602105"/>
        <a:ext cx="3459480" cy="160718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7620</xdr:colOff>
      <xdr:row>0</xdr:row>
      <xdr:rowOff>7620</xdr:rowOff>
    </xdr:from>
    <xdr:to>
      <xdr:col>10</xdr:col>
      <xdr:colOff>2650490</xdr:colOff>
      <xdr:row>1</xdr:row>
      <xdr:rowOff>75565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6" name="Regio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" y="7620"/>
              <a:ext cx="14095730" cy="4108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3390</xdr:colOff>
      <xdr:row>8</xdr:row>
      <xdr:rowOff>18455</xdr:rowOff>
    </xdr:from>
    <xdr:to>
      <xdr:col>11</xdr:col>
      <xdr:colOff>6569</xdr:colOff>
      <xdr:row>17</xdr:row>
      <xdr:rowOff>0</xdr:rowOff>
    </xdr:to>
    <xdr:graphicFrame>
      <xdr:nvGraphicFramePr>
        <xdr:cNvPr id="5" name="Chart 4"/>
        <xdr:cNvGraphicFramePr/>
      </xdr:nvGraphicFramePr>
      <xdr:xfrm>
        <a:off x="10229215" y="1598295"/>
        <a:ext cx="3881755" cy="16275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3175</xdr:colOff>
      <xdr:row>8</xdr:row>
      <xdr:rowOff>13970</xdr:rowOff>
    </xdr:from>
    <xdr:to>
      <xdr:col>8</xdr:col>
      <xdr:colOff>10795</xdr:colOff>
      <xdr:row>16</xdr:row>
      <xdr:rowOff>178435</xdr:rowOff>
    </xdr:to>
    <xdr:graphicFrame>
      <xdr:nvGraphicFramePr>
        <xdr:cNvPr id="7" name="Chart 6"/>
        <xdr:cNvGraphicFramePr/>
      </xdr:nvGraphicFramePr>
      <xdr:xfrm>
        <a:off x="7318375" y="1593850"/>
        <a:ext cx="2788920" cy="16275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7620</xdr:colOff>
      <xdr:row>8</xdr:row>
      <xdr:rowOff>19050</xdr:rowOff>
    </xdr:from>
    <xdr:to>
      <xdr:col>5</xdr:col>
      <xdr:colOff>11430</xdr:colOff>
      <xdr:row>16</xdr:row>
      <xdr:rowOff>179070</xdr:rowOff>
    </xdr:to>
    <xdr:graphicFrame>
      <xdr:nvGraphicFramePr>
        <xdr:cNvPr id="8" name="Chart 7"/>
        <xdr:cNvGraphicFramePr/>
      </xdr:nvGraphicFramePr>
      <xdr:xfrm>
        <a:off x="3573780" y="1598930"/>
        <a:ext cx="3623310" cy="16230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5" minRefreshableVersion="3" refreshedDate="45985.9090277778" refreshedBy="mhuza" recordCount="141">
  <cacheSource type="worksheet">
    <worksheetSource ref="A1:L142" sheet="RAW DATA"/>
  </cacheSource>
  <cacheFields count="12">
    <cacheField name="Emp Code" numFmtId="0">
      <sharedItems count="141">
        <s v="EMP-1000"/>
        <s v="EMP-1001"/>
        <s v="EMP-1002"/>
        <s v="EMP-1003"/>
        <s v="EMP-1004"/>
        <s v="EMP-1005"/>
        <s v="EMP-1006"/>
        <s v="EMP-1007"/>
        <s v="EMP-1008"/>
        <s v="EMP-1009"/>
        <s v="EMP-1010"/>
        <s v="EMP-1011"/>
        <s v="EMP-1012"/>
        <s v="EMP-1013"/>
        <s v="EMP-1014"/>
        <s v="EMP-1015"/>
        <s v="EMP-1016"/>
        <s v="EMP-1017"/>
        <s v="EMP-1018"/>
        <s v="EMP-1019"/>
        <s v="EMP-1020"/>
        <s v="EMP-1021"/>
        <s v="EMP-1022"/>
        <s v="EMP-1023"/>
        <s v="EMP-1024"/>
        <s v="EMP-1025"/>
        <s v="EMP-1026"/>
        <s v="EMP-1027"/>
        <s v="EMP-1028"/>
        <s v="EMP-1029"/>
        <s v="EMP-1030"/>
        <s v="EMP-1031"/>
        <s v="EMP-1032"/>
        <s v="EMP-1033"/>
        <s v="EMP-1034"/>
        <s v="EMP-1035"/>
        <s v="EMP-1036"/>
        <s v="EMP-1037"/>
        <s v="EMP-1038"/>
        <s v="EMP-1039"/>
        <s v="EMP-1040"/>
        <s v="EMP-1041"/>
        <s v="EMP-1042"/>
        <s v="EMP-1043"/>
        <s v="EMP-1044"/>
        <s v="EMP-1045"/>
        <s v="EMP-1046"/>
        <s v="EMP-1047"/>
        <s v="EMP-1048"/>
        <s v="EMP-1049"/>
        <s v="EMP-1050"/>
        <s v="EMP-1051"/>
        <s v="EMP-1052"/>
        <s v="EMP-1053"/>
        <s v="EMP-1054"/>
        <s v="EMP-1055"/>
        <s v="EMP-1056"/>
        <s v="EMP-1057"/>
        <s v="EMP-1058"/>
        <s v="EMP-1059"/>
        <s v="EMP-1060"/>
        <s v="EMP-1061"/>
        <s v="EMP-1062"/>
        <s v="EMP-1063"/>
        <s v="EMP-1064"/>
        <s v="EMP-1065"/>
        <s v="EMP-1066"/>
        <s v="EMP-1067"/>
        <s v="EMP-1068"/>
        <s v="EMP-1069"/>
        <s v="EMP-1070"/>
        <s v="EMP-1071"/>
        <s v="EMP-1072"/>
        <s v="EMP-1073"/>
        <s v="EMP-1074"/>
        <s v="EMP-1075"/>
        <s v="EMP-1076"/>
        <s v="EMP-1077"/>
        <s v="EMP-1078"/>
        <s v="EMP-1079"/>
        <s v="EMP-1080"/>
        <s v="EMP-1081"/>
        <s v="EMP-1082"/>
        <s v="EMP-1083"/>
        <s v="EMP-1084"/>
        <s v="EMP-1085"/>
        <s v="EMP-1086"/>
        <s v="EMP-1087"/>
        <s v="EMP-1088"/>
        <s v="EMP-1089"/>
        <s v="EMP-1090"/>
        <s v="EMP-1091"/>
        <s v="EMP-1092"/>
        <s v="EMP-1093"/>
        <s v="EMP-1094"/>
        <s v="EMP-1095"/>
        <s v="EMP-1096"/>
        <s v="EMP-1097"/>
        <s v="EMP-1098"/>
        <s v="EMP-1099"/>
        <s v="EMP-1100"/>
        <s v="EMP-1101"/>
        <s v="EMP-1102"/>
        <s v="EMP-1103"/>
        <s v="EMP-1104"/>
        <s v="EMP-1105"/>
        <s v="EMP-1106"/>
        <s v="EMP-1107"/>
        <s v="EMP-1108"/>
        <s v="EMP-1109"/>
        <s v="EMP-1110"/>
        <s v="EMP-1111"/>
        <s v="EMP-1112"/>
        <s v="EMP-1113"/>
        <s v="EMP-1114"/>
        <s v="EMP-1115"/>
        <s v="EMP-1116"/>
        <s v="EMP-1117"/>
        <s v="EMP-1118"/>
        <s v="EMP-1119"/>
        <s v="EMP-1120"/>
        <s v="EMP-1121"/>
        <s v="EMP-1122"/>
        <s v="EMP-1123"/>
        <s v="EMP-1124"/>
        <s v="EMP-1125"/>
        <s v="EMP-1126"/>
        <s v="EMP-1127"/>
        <s v="EMP-1128"/>
        <s v="EMP-1129"/>
        <s v="EMP-1130"/>
        <s v="EMP-1131"/>
        <s v="EMP-1132"/>
        <s v="EMP-1133"/>
        <s v="EMP-1134"/>
        <s v="EMP-1135"/>
        <s v="EMP-1136"/>
        <s v="EMP-1137"/>
        <s v="EMP-1138"/>
        <s v="EMP-1139"/>
        <s v="EMP-1140"/>
      </sharedItems>
    </cacheField>
    <cacheField name="Sales Executive" numFmtId="0">
      <sharedItems count="442">
        <s v="Saad Bhatti"/>
        <s v="Huzaifa Malik"/>
        <s v="Naveed Rind"/>
        <s v="Yasir Ghaffar"/>
        <s v="Mudassir Rind"/>
        <s v="Zain Abbasi"/>
        <s v="Shayan Niazi"/>
        <s v="Basit Soomro"/>
        <s v="Furqan Rind"/>
        <s v="Hassan Rahman"/>
        <s v="Asad Bhatti"/>
        <s v="Kamran Hashmi"/>
        <s v="Farhan Rahman"/>
        <s v="Ahmed Qureshi"/>
        <s v="Usama Gondal"/>
        <s v="Shayan Bhatti"/>
        <s v="Imran Saleem"/>
        <s v="Hamza Jutt"/>
        <s v="Junaid Malik"/>
        <s v="Yasir Hashmi"/>
        <s v="Kamran Baloch"/>
        <s v="Noman Rahman"/>
        <s v="Adeel Ansari"/>
        <s v="Irfan Sheikh"/>
        <s v="Adeel Baloch"/>
        <s v="Shayan Akhtar"/>
        <s v="Kashif Sheikh"/>
        <s v="Noman Chaudhry"/>
        <s v="Bilal Soomro"/>
        <s v="Sohail Ansari"/>
        <s v="Kamran Khan"/>
        <s v="Hamza Qureshi"/>
        <s v="Rehan Akhtar"/>
        <s v="Rauf Soomro"/>
        <s v="Asad Gondal"/>
        <s v="Haroon Jutt"/>
        <s v="Imran Butt"/>
        <s v="Kashif Chaudhry"/>
        <s v="Hassan Baloch"/>
        <s v="Noman Soomro"/>
        <s v="Usama Raja"/>
        <s v="Waqas Abbasi"/>
        <s v="Abbas Jutt"/>
        <s v="Naveed Mughal"/>
        <s v="Shafqat Shah"/>
        <s v="Waqas Ghaffar"/>
        <s v="Faisal Naseer"/>
        <s v="Huzaifa Hussain"/>
        <s v="Shahzaib Mirza"/>
        <s v="Irfan Ansari"/>
        <s v="Imran Shafiq"/>
        <s v="Imran Ghaffar"/>
        <s v="Adeel Khan"/>
        <s v="Haroon Shah"/>
        <s v="Kamran Shah"/>
        <s v="Shehzad Yousaf"/>
        <s v="Shehzad Malik"/>
        <s v="Imran Iqbal"/>
        <s v="Hamza Naseer"/>
        <s v="Mudassir Niazi"/>
        <s v="Hassan Chaudhry"/>
        <s v="Talha Soomro"/>
        <s v="Furqan Saleem"/>
        <s v="Noman Mirza"/>
        <s v="Zubair Jutt"/>
        <s v="Ahmed Ghaffar"/>
        <s v="Saqib Awan"/>
        <s v="Asad Mughal"/>
        <s v="Shehzad Rind"/>
        <s v="Saad Shah"/>
        <s v="Bilal Raja"/>
        <s v="Mudassir Butt"/>
        <s v="Adeel Malik"/>
        <s v="Shayan Butt"/>
        <s v="Abbas Butt"/>
        <s v="Tariq Naseer"/>
        <s v="Shafqat Akhtar"/>
        <s v="Zubair Shah"/>
        <s v="Shayan Naseer"/>
        <s v="Haroon Rind"/>
        <s v="Shayan Abbasi"/>
        <s v="Shayan Ghaffar"/>
        <s v="Usama Saleem"/>
        <s v="Noman Hussain"/>
        <s v="Bilal Gondal"/>
        <s v="Saqib Butt"/>
        <s v="Danish Sheikh"/>
        <s v="Adeel Ghaffar"/>
        <s v="Hassan Soomro"/>
        <s v="Abbas Baloch"/>
        <s v="Faisal Malik"/>
        <s v="Faisal Qureshi"/>
        <s v="Rashid Ansari"/>
        <s v="Hassan Khan"/>
        <s v="Hassan Ansari"/>
        <s v="Huzaifa Hashmi"/>
        <s v="Danish Akhtar"/>
        <s v="Rehan Hashmi"/>
        <s v="Faisal Mughal"/>
        <s v="Irfan Chaudhry"/>
        <s v="Rashid Rind"/>
        <s v="Talha Saleem"/>
        <s v="Kamran Bhatti"/>
        <s v="Shafqat Abbasi"/>
        <s v="Adnan Rind"/>
        <s v="Ahmed Ansari"/>
        <s v="Kashif Mirza"/>
        <s v="Kashif Raja"/>
        <s v="Ahmed Mughal"/>
        <s v="Sohail Jutt"/>
        <s v="Tariq Butt"/>
        <s v="Farhan Soomro"/>
        <s v="Noman Naseer"/>
        <s v="Hamza Shafiq"/>
        <s v="Noman Iqbal"/>
        <s v="Sohail Abbasi"/>
        <s v="Rashid Ghaffar"/>
        <s v="Sohail Baloch"/>
        <s v="Basit Chaudhry"/>
        <s v="Mudassir Soomro"/>
        <s v="Zain Chaudhry"/>
        <s v="Ahmed Shah"/>
        <s v="Ahmed Raja"/>
        <s v="Shahzaib Iqbal"/>
        <s v="Rauf Gondal"/>
        <s v="Rehan Hussain"/>
        <s v="Ahmed Khan"/>
        <s v="Irfan Raja"/>
        <s v="Junaid Abbasi"/>
        <s v="Furqan Shah"/>
        <s v="Mudassir Malik"/>
        <s v="Tariq Shah"/>
        <s v="Sohail Khan"/>
        <s v="Zubair Hussain"/>
        <s v="Bilal Akhtar"/>
        <s v="Zain Raja"/>
        <s v="Noman Yousaf"/>
        <s v="Sohail Bhatti"/>
        <s v="Naveed Akhtar"/>
        <s v="Afzal Hussain"/>
        <s v="Abdul Hamid"/>
        <s v="Samaha Nofapa" u="1"/>
        <s v="Mafara Bashisa" u="1"/>
        <s v="Nofapa Zimasa" u="1"/>
        <s v="Mizana Bashino" u="1"/>
        <s v="Takata Shifaba" u="1"/>
        <s v="Kazara Shiraza" u="1"/>
        <s v="Mibara Rekala" u="1"/>
        <s v="Zifara Remino" u="1"/>
        <s v="Batasa Sulaka" u="1"/>
        <s v="Reshina Mashishi" u="1"/>
        <s v="Kanoshi Zasara" u="1"/>
        <s v="Zalapa Sunosu" u="1"/>
        <s v="Mabazi Tapama" u="1"/>
        <s v="Talala Zasusa" u="1"/>
        <s v="Sakasa Noshishi" u="1"/>
        <s v="Retami Masura" u="1"/>
        <s v="Milano Zifala" u="1"/>
        <s v="Hahafa Fasara" u="1"/>
        <s v="Zanoha Barema" u="1"/>
        <s v="Tanosa Nazire" u="1"/>
        <s v="Pakare Zishisu" u="1"/>
        <s v="Nanoha Mapata" u="1"/>
        <s v="Tapano Minazi" u="1"/>
        <s v="Marefa Susufa" u="1"/>
        <s v="Ralapa Miziha" u="1"/>
        <s v="Namama Pafara" u="1"/>
        <s v="Zitaza Famimi" u="1"/>
        <s v="Hazila Fasashi" u="1"/>
        <s v="Minapa Salapa" u="1"/>
        <s v="Rehata Kakashi" u="1"/>
        <s v="Noraza Katashi" u="1"/>
        <s v="Fapana Satara" u="1"/>
        <s v="Shinofa Sanofa" u="1"/>
        <s v="Nofaka Tamira" u="1"/>
        <s v="Nomashi Renofa" u="1"/>
        <s v="Nazashi Mipami" u="1"/>
        <s v="Kasuka Lamiza" u="1"/>
        <s v="Mizaha Panano" u="1"/>
        <s v="Faraka Relaka" u="1"/>
        <s v="Mafazi Ramifa" u="1"/>
        <s v="Pazano Rezisa" u="1"/>
        <s v="Paremi Kahapa" u="1"/>
        <s v="Tazasu Fahaka" u="1"/>
        <s v="Mabata Zirare" u="1"/>
        <s v="Shipaza Zasano" u="1"/>
        <s v="Shizasa Supala" u="1"/>
        <s v="Misaba Rakama" u="1"/>
        <s v="Sazata Nomaka" u="1"/>
        <s v="Lanata Mimifa" u="1"/>
        <s v="Nashita Nareshi" u="1"/>
        <s v="Bafafa Minana" u="1"/>
        <s v="Tamaba Mabata" u="1"/>
        <s v="Fabala Mibaha" u="1"/>
        <s v="Lababa Tafapa" u="1"/>
        <s v="Sukaza Nataba" u="1"/>
        <s v="Pabashi Shipaka" u="1"/>
        <s v="Makasa Hazala" u="1"/>
        <s v="Zamafa Banama" u="1"/>
        <s v="Mirela Zasushi" u="1"/>
        <s v="Bamira Suzata" u="1"/>
        <s v="Hakafa Renozi" u="1"/>
        <s v="Barefa Zapashi" u="1"/>
        <s v="Kalasa Zakare" u="1"/>
        <s v="Rerasa Fafaka" u="1"/>
        <s v="Hataza Pabashi" u="1"/>
        <s v="Fasuta Hashifa" u="1"/>
        <s v="Hanola Zarapa" u="1"/>
        <s v="Sunozi Lahasu" u="1"/>
        <s v="Nasuno Susuka" u="1"/>
        <s v="Nomasu Kashipa" u="1"/>
        <s v="Tasusa Sunata" u="1"/>
        <s v="Zatashi Tamire" u="1"/>
        <s v="Pasuzi Minaba" u="1"/>
        <s v="Remika Mahana" u="1"/>
        <s v="Tazire Noshiha" u="1"/>
        <s v="Larepa Nasusa" u="1"/>
        <s v="Hamifa Hazifa" u="1"/>
        <s v="Nonoba Zinara" u="1"/>
        <s v="Lazino Rataha" u="1"/>
        <s v="Tahami Maziba" u="1"/>
        <s v="Hafama Tamaka" u="1"/>
        <s v="Mirazi Mimaba" u="1"/>
        <s v="Hazaha Mirazi" u="1"/>
        <s v="Rasura Kakapa" u="1"/>
        <s v="Ranashi Shizaza" u="1"/>
        <s v="Susaha Zizaka" u="1"/>
        <s v="Sumaba Famira" u="1"/>
        <s v="Karesu Pazama" u="1"/>
        <s v="Bamaba Susaha" u="1"/>
        <s v="Lafaza Lataza" u="1"/>
        <s v="Zinore Shireta" u="1"/>
        <s v="Fabare Lasazi" u="1"/>
        <s v="Lanaba Hanazi" u="1"/>
        <s v="Zazika Lafaza" u="1"/>
        <s v="Sabana Sahama" u="1"/>
        <s v="Basasa Sahashi" u="1"/>
        <s v="Mireka Zanama" u="1"/>
        <s v="Sanara Zafala" u="1"/>
        <s v="Mirama Lanaba" u="1"/>
        <s v="Surafa Zinapa" u="1"/>
        <s v="Lanafa Norata" u="1"/>
        <s v="Zarema Nahasu" u="1"/>
        <s v="Bafasa Palasa" u="1"/>
        <s v="Resupa Rahapa" u="1"/>
        <s v="Kalashi Harano" u="1"/>
        <s v="Mamana Razala" u="1"/>
        <s v="Zizishi Kazila" u="1"/>
        <s v="Shitaka Sunami" u="1"/>
        <s v="Shirafa Zanana" u="1"/>
        <s v="Tapafa Pazima" u="1"/>
        <s v="Suhasu Refala" u="1"/>
        <s v="Lamino Basaba" u="1"/>
        <s v="Rashipa Lahaza" u="1"/>
        <s v="Reshisu Fashila" u="1"/>
        <s v="Shimita Mihara" u="1"/>
        <s v="Papashi Nokasu" u="1"/>
        <s v="Lalana Tatana" u="1"/>
        <s v="Rahano Habaka" u="1"/>
        <s v="Lalata Mafala" u="1"/>
        <s v="Hababa Takano" u="1"/>
        <s v="Lazisa Tarafa" u="1"/>
        <s v="Maresu Nonosu" u="1"/>
        <s v="Tatama Mimare" u="1"/>
        <s v="Shifaha Pasazi" u="1"/>
        <s v="Shiraka Zazizi" u="1"/>
        <s v="Repama Barare" u="1"/>
        <s v="Safaka Zahare" u="1"/>
        <s v="Resara Rahana" u="1"/>
        <s v="Retala Milara" u="1"/>
        <s v="Samasa Pareta" u="1"/>
        <s v="Patala Kafama" u="1"/>
        <s v="Shishizi Nolaza" u="1"/>
        <s v="Hashima Barama" u="1"/>
        <s v="Sahaba Lalana" u="1"/>
        <s v="Hafasa Ranala" u="1"/>
        <s v="Zishipa Harefa" u="1"/>
        <s v="Kamire Kanaka" u="1"/>
        <s v="Lazano Rafaza" u="1"/>
        <s v="Mirashi Fapaba" u="1"/>
        <s v="Tamita Shizare" u="1"/>
        <s v="Lanapa Mifami" u="1"/>
        <s v="Usman" u="1"/>
        <s v="Bilal" u="1"/>
        <s v="Maria" u="1"/>
        <s v="Rehan" u="1"/>
        <s v="Fatima" u="1"/>
        <s v="Sohail" u="1"/>
        <s v="Shahzaib" u="1"/>
        <s v="Sana" u="1"/>
        <s v="Ayesha" u="1"/>
        <s v="Noor" u="1"/>
        <s v="Omar" u="1"/>
        <s v="Farhan" u="1"/>
        <s v="Hassan" u="1"/>
        <s v="Ali" u="1"/>
        <s v="Sara" u="1"/>
        <s v="Zain" u="1"/>
        <s v="Iqra" u="1"/>
        <s v="Hina" u="1"/>
        <s v="Hira" u="1"/>
        <s v="Ahmed" u="1"/>
        <s v="Raj Verma" u="1"/>
        <s v="Tanuja Kale" u="1"/>
        <s v="Arvind Sharma" u="1"/>
        <s v="Tahira Qureshi" u="1"/>
        <s v="Anuj Sharma" u="1"/>
        <s v="Syed Sohail" u="1"/>
        <s v="Syed Saqib" u="1"/>
        <s v="Syed Naved" u="1"/>
        <s v="Swarnlata Borse" u="1"/>
        <s v="Sushma Khandelwal" u="1"/>
        <s v="Surendranath Thakur" u="1"/>
        <s v="Surendra Kumar" u="1"/>
        <s v="Sunita Madnani" u="1"/>
        <s v="Sunita Chawla" u="1"/>
        <s v="Sunil Kumar" u="1"/>
        <s v="Sudhir Kumar" u="1"/>
        <s v="Sudama Kumar" u="1"/>
        <s v="Sonaram Munda" u="1"/>
        <s v="Sneh Khan" u="1"/>
        <s v="Shyamal Malakar" u="1"/>
        <s v="Shubhanjali Joshi" u="1"/>
        <s v="Shivji Prasad" u="1"/>
        <s v="Shephali Jain" u="1"/>
        <s v="Sheena Joseph" u="1"/>
        <s v="Sheeba Joseph" u="1"/>
        <s v="Shashikant Tiwari" u="1"/>
        <s v="Shankar Attendant" u="1"/>
        <s v="Shailendra Barge" u="1"/>
        <s v="Shailaja Kamal" u="1"/>
        <s v="Saroj Parita" u="1"/>
        <s v="Sapna Sharma" u="1"/>
        <s v="Santosh Kumar" u="1"/>
        <s v="Sanju Ramdas" u="1"/>
        <s v="Sanjiv Subherwal" u="1"/>
        <s v="Sanjay Hire" u="1"/>
        <s v="Salim" u="1"/>
        <s v="Sajid Naqvi" u="1"/>
        <s v="Roohi Haider" u="1"/>
        <s v="Roma Rastogi" u="1"/>
        <s v="Roli Bhatnagar" u="1"/>
        <s v="Rohit Nishchal" u="1"/>
        <s v="Ritu Bhatnagar" u="1"/>
        <s v="Renu Pratap" u="1"/>
        <s v="Rekha Jain " u="1"/>
        <s v="Rekha Gupta" u="1"/>
        <s v="Rekha Agarwal" u="1"/>
        <s v="Ravinder Kaur" u="1"/>
        <s v="Ravi Kumar" u="1"/>
        <s v="Rashmi Gajbe" u="1"/>
        <s v="Rashid" u="1"/>
        <s v="Ramji Prasad" u="1"/>
        <s v="Rakhi Jodhani" u="1"/>
        <s v="Rajshree Dhabekar" u="1"/>
        <s v="Raji Abraham" u="1"/>
        <s v="Rajesh Sharma" u="1"/>
        <s v="Rajesh Kumar" u="1"/>
        <s v="Rajendra Prasad" u="1"/>
        <s v="Rajendra Kumar" u="1"/>
        <s v="Rajendra Gupta" u="1"/>
        <s v="Rajeev Kumar" u="1"/>
        <s v="Rajeev Garg" u="1"/>
        <s v="Raj Kumar" u="1"/>
        <s v="Rachna Chauhan" u="1"/>
        <s v="Rachita Anupam" u="1"/>
        <s v="Rachel Mathew" u="1"/>
        <s v="Praveen Kumar" u="1"/>
        <s v="Prasannakumari S" u="1"/>
        <s v="Pramod Tiwari" u="1"/>
        <s v="Prabha Desikan" u="1"/>
        <s v="Partha Sarathi" u="1"/>
        <s v="Pankaj Shelkey" u="1"/>
        <s v="Owais Mohd" u="1"/>
        <s v="Omprakash O" u="1"/>
        <s v="Om Prakash" u="1"/>
        <s v="Nitin Bhatia" u="1"/>
        <s v="Nikita Panwalkar" u="1"/>
        <s v="Neeru Mehta" u="1"/>
        <s v="Neeraj Saxena" u="1"/>
        <s v="Narayan Singh" u="1"/>
        <s v="Nandu Kumar" u="1"/>
        <s v="Mukesh Nagar" u="1"/>
        <s v="Mubeen Khan" u="1"/>
        <s v="Mohd Rafi" u="1"/>
        <s v="Miny Mole" u="1"/>
        <s v="Mercy Thampi" u="1"/>
        <s v="Mehnaz Khan" u="1"/>
        <s v="Meena Zinjare" u="1"/>
        <s v="Masroor Adil" u="1"/>
        <s v="Manoj Kumar" u="1"/>
        <s v="ManjuTiwari Lab" u="1"/>
        <s v="Manjusha Sinha" u="1"/>
        <s v="Manisha Shrivastava" u="1"/>
        <s v="Mangal Singh" u="1"/>
        <s v="Lilly Lucy" u="1"/>
        <s v="Leena George" u="1"/>
        <s v="Kunj Bihari" u="1"/>
        <s v="Krishana Kumar" u="1"/>
        <s v="Kisun Sah" u="1"/>
        <s v="Kiran Khubchandani" u="1"/>
        <s v="Kavita Sharma" u="1"/>
        <s v="Kamini Tiwari" u="1"/>
        <s v="Kamini Kumar" u="1"/>
        <s v="Kalpana Agrawal" u="1"/>
        <s v="Kailash Nath" u="1"/>
        <s v="Kahkasha Parveen" u="1"/>
        <s v="Jyoti Tulsani" u="1"/>
        <s v="Julie S" u="1"/>
        <s v="John D'Costa" u="1"/>
        <s v="Jitendra Kumar" u="1"/>
        <s v="Janardan Mishra" u="1"/>
        <s v="Jairaj Vatham" u="1"/>
        <s v="Jagdish Chandra" u="1"/>
        <s v="Indra Singh" u="1"/>
        <s v="Indra Pal" u="1"/>
        <s v="Heeramani Choudhary" u="1"/>
        <s v="Hari Kumar" u="1"/>
        <s v="Dinesh Kumar" u="1"/>
        <s v="Deepika Nigam" u="1"/>
        <s v="Deepak Kumar" u="1"/>
        <s v="Daleep Singh" u="1"/>
        <s v="Bindu Nair" u="1"/>
        <s v="Bhagwat Singh" u="1"/>
        <s v="Azam" u="1"/>
        <s v="Atul Kumar" u="1"/>
        <s v="Ashok Mahto" u="1"/>
        <s v="Ashok Kumar" u="1"/>
        <s v="Ashish Kumar" u="1"/>
        <s v="Arun Kumar" u="1"/>
        <s v="Anubhuti Gupta" u="1"/>
        <s v="Anoop Raj" u="1"/>
        <s v="Anoop Narayan" u="1"/>
        <s v="Annu Latika" u="1"/>
        <s v="Anjali Sahay" u="1"/>
        <s v="Anjali Deoram" u="1"/>
        <s v="Anita Ghore" u="1"/>
        <s v="Anita Dixit" u="1"/>
        <s v="Anil Kumar" u="1"/>
        <s v="Anikuttan" u="1"/>
        <s v="Anamika Gupta" u="1"/>
        <s v="Afzal Husain" u="1"/>
      </sharedItems>
    </cacheField>
    <cacheField name="Region" numFmtId="0">
      <sharedItems count="23">
        <s v="Karachi"/>
        <s v="Peshawar"/>
        <s v="Rawalpindi"/>
        <s v="Quetta"/>
        <s v="Islamabad"/>
        <s v="Faisalabad"/>
        <s v="Lahore"/>
        <s v="Multan"/>
        <s v="Khyber Pakhtunkhwa" u="1"/>
        <s v="Hyderabad" u="1"/>
        <s v="Balochistan" u="1"/>
        <s v="Punjab" u="1"/>
        <s v="Sialkot" u="1"/>
        <s v="Sindh" u="1"/>
        <s v="Gujranwala" u="1"/>
        <s v="Mumbai" u="1"/>
        <s v="Delhi" u="1"/>
        <s v="Nagpur" u="1"/>
        <s v="Chennai" u="1"/>
        <s v="Pune" u="1"/>
        <s v="Patna" u="1"/>
        <s v="Ranchi" u="1"/>
        <s v="Surat" u="1"/>
      </sharedItems>
    </cacheField>
    <cacheField name="Day1" numFmtId="0">
      <sharedItems containsSemiMixedTypes="0" containsString="0" containsNumber="1" containsInteger="1" minValue="10" maxValue="99" count="70">
        <n v="49"/>
        <n v="44"/>
        <n v="45"/>
        <n v="52"/>
        <n v="35"/>
        <n v="86"/>
        <n v="84"/>
        <n v="73"/>
        <n v="54"/>
        <n v="63"/>
        <n v="79"/>
        <n v="95"/>
        <n v="83"/>
        <n v="78"/>
        <n v="14"/>
        <n v="37"/>
        <n v="11"/>
        <n v="19"/>
        <n v="93"/>
        <n v="68"/>
        <n v="99"/>
        <n v="57"/>
        <n v="40"/>
        <n v="47"/>
        <n v="16"/>
        <n v="72"/>
        <n v="30"/>
        <n v="65"/>
        <n v="10"/>
        <n v="82"/>
        <n v="91"/>
        <n v="66"/>
        <n v="70"/>
        <n v="74"/>
        <n v="80"/>
        <n v="17"/>
        <n v="88"/>
        <n v="23"/>
        <n v="15"/>
        <n v="18"/>
        <n v="34"/>
        <n v="76"/>
        <n v="43"/>
        <n v="75"/>
        <n v="87"/>
        <n v="51"/>
        <n v="32"/>
        <n v="41"/>
        <n v="12"/>
        <n v="98"/>
        <n v="50"/>
        <n v="71"/>
        <n v="48"/>
        <n v="77"/>
        <n v="81"/>
        <n v="39"/>
        <n v="46"/>
        <n v="96"/>
        <n v="31"/>
        <n v="92"/>
        <n v="55"/>
        <n v="61"/>
        <n v="24"/>
        <n v="26"/>
        <n v="20"/>
        <n v="25"/>
        <n v="60"/>
        <n v="42"/>
        <n v="90"/>
        <n v="85"/>
      </sharedItems>
    </cacheField>
    <cacheField name="Day2" numFmtId="0">
      <sharedItems containsSemiMixedTypes="0" containsString="0" containsNumber="1" containsInteger="1" minValue="11" maxValue="99" count="70">
        <n v="84"/>
        <n v="85"/>
        <n v="79"/>
        <n v="99"/>
        <n v="54"/>
        <n v="31"/>
        <n v="28"/>
        <n v="97"/>
        <n v="26"/>
        <n v="52"/>
        <n v="17"/>
        <n v="88"/>
        <n v="77"/>
        <n v="58"/>
        <n v="25"/>
        <n v="69"/>
        <n v="46"/>
        <n v="34"/>
        <n v="73"/>
        <n v="22"/>
        <n v="71"/>
        <n v="87"/>
        <n v="38"/>
        <n v="90"/>
        <n v="66"/>
        <n v="30"/>
        <n v="59"/>
        <n v="23"/>
        <n v="13"/>
        <n v="18"/>
        <n v="60"/>
        <n v="51"/>
        <n v="82"/>
        <n v="16"/>
        <n v="72"/>
        <n v="36"/>
        <n v="67"/>
        <n v="39"/>
        <n v="14"/>
        <n v="35"/>
        <n v="12"/>
        <n v="55"/>
        <n v="70"/>
        <n v="78"/>
        <n v="75"/>
        <n v="74"/>
        <n v="11"/>
        <n v="15"/>
        <n v="44"/>
        <n v="83"/>
        <n v="94"/>
        <n v="49"/>
        <n v="63"/>
        <n v="19"/>
        <n v="42"/>
        <n v="80"/>
        <n v="48"/>
        <n v="45"/>
        <n v="96"/>
        <n v="91"/>
        <n v="53"/>
        <n v="62"/>
        <n v="65"/>
        <n v="61"/>
        <n v="92"/>
        <n v="24"/>
        <n v="68"/>
        <n v="21"/>
        <n v="43"/>
        <n v="81"/>
      </sharedItems>
    </cacheField>
    <cacheField name="Day3" numFmtId="0">
      <sharedItems containsSemiMixedTypes="0" containsString="0" containsNumber="1" containsInteger="1" minValue="10" maxValue="99" count="69">
        <n v="98"/>
        <n v="47"/>
        <n v="88"/>
        <n v="13"/>
        <n v="49"/>
        <n v="23"/>
        <n v="38"/>
        <n v="53"/>
        <n v="19"/>
        <n v="40"/>
        <n v="95"/>
        <n v="11"/>
        <n v="66"/>
        <n v="34"/>
        <n v="45"/>
        <n v="96"/>
        <n v="91"/>
        <n v="64"/>
        <n v="97"/>
        <n v="48"/>
        <n v="31"/>
        <n v="18"/>
        <n v="94"/>
        <n v="80"/>
        <n v="92"/>
        <n v="70"/>
        <n v="99"/>
        <n v="17"/>
        <n v="41"/>
        <n v="79"/>
        <n v="25"/>
        <n v="44"/>
        <n v="33"/>
        <n v="74"/>
        <n v="10"/>
        <n v="15"/>
        <n v="12"/>
        <n v="90"/>
        <n v="84"/>
        <n v="72"/>
        <n v="82"/>
        <n v="42"/>
        <n v="56"/>
        <n v="71"/>
        <n v="89"/>
        <n v="46"/>
        <n v="27"/>
        <n v="58"/>
        <n v="87"/>
        <n v="63"/>
        <n v="68"/>
        <n v="62"/>
        <n v="59"/>
        <n v="43"/>
        <n v="65"/>
        <n v="21"/>
        <n v="20"/>
        <n v="50"/>
        <n v="86"/>
        <n v="81"/>
        <n v="16"/>
        <n v="32"/>
        <n v="85"/>
        <n v="35"/>
        <n v="61"/>
        <n v="93"/>
        <n v="26"/>
        <n v="75"/>
        <n v="57"/>
      </sharedItems>
    </cacheField>
    <cacheField name="Day4" numFmtId="0">
      <sharedItems containsSemiMixedTypes="0" containsString="0" containsNumber="1" containsInteger="1" minValue="11" maxValue="99" count="73">
        <n v="67"/>
        <n v="15"/>
        <n v="73"/>
        <n v="95"/>
        <n v="26"/>
        <n v="48"/>
        <n v="80"/>
        <n v="24"/>
        <n v="36"/>
        <n v="53"/>
        <n v="12"/>
        <n v="78"/>
        <n v="22"/>
        <n v="84"/>
        <n v="70"/>
        <n v="66"/>
        <n v="98"/>
        <n v="65"/>
        <n v="45"/>
        <n v="76"/>
        <n v="44"/>
        <n v="34"/>
        <n v="11"/>
        <n v="75"/>
        <n v="72"/>
        <n v="89"/>
        <n v="85"/>
        <n v="77"/>
        <n v="94"/>
        <n v="17"/>
        <n v="61"/>
        <n v="64"/>
        <n v="55"/>
        <n v="46"/>
        <n v="54"/>
        <n v="97"/>
        <n v="60"/>
        <n v="19"/>
        <n v="41"/>
        <n v="99"/>
        <n v="58"/>
        <n v="31"/>
        <n v="81"/>
        <n v="83"/>
        <n v="16"/>
        <n v="43"/>
        <n v="14"/>
        <n v="20"/>
        <n v="33"/>
        <n v="35"/>
        <n v="29"/>
        <n v="82"/>
        <n v="13"/>
        <n v="42"/>
        <n v="23"/>
        <n v="63"/>
        <n v="57"/>
        <n v="90"/>
        <n v="32"/>
        <n v="68"/>
        <n v="69"/>
        <n v="91"/>
        <n v="40"/>
        <n v="25"/>
        <n v="30"/>
        <n v="47"/>
        <n v="28"/>
        <n v="71"/>
        <n v="96"/>
        <n v="92"/>
        <n v="51"/>
        <n v="86"/>
        <n v="56"/>
      </sharedItems>
    </cacheField>
    <cacheField name="Day5" numFmtId="0">
      <sharedItems containsSemiMixedTypes="0" containsString="0" containsNumber="1" containsInteger="1" minValue="10" maxValue="99" count="76">
        <n v="41"/>
        <n v="48"/>
        <n v="94"/>
        <n v="29"/>
        <n v="49"/>
        <n v="77"/>
        <n v="79"/>
        <n v="53"/>
        <n v="20"/>
        <n v="37"/>
        <n v="51"/>
        <n v="91"/>
        <n v="60"/>
        <n v="40"/>
        <n v="31"/>
        <n v="45"/>
        <n v="38"/>
        <n v="70"/>
        <n v="18"/>
        <n v="93"/>
        <n v="52"/>
        <n v="92"/>
        <n v="33"/>
        <n v="34"/>
        <n v="97"/>
        <n v="10"/>
        <n v="89"/>
        <n v="67"/>
        <n v="22"/>
        <n v="47"/>
        <n v="61"/>
        <n v="59"/>
        <n v="30"/>
        <n v="58"/>
        <n v="56"/>
        <n v="28"/>
        <n v="13"/>
        <n v="42"/>
        <n v="78"/>
        <n v="21"/>
        <n v="90"/>
        <n v="72"/>
        <n v="57"/>
        <n v="23"/>
        <n v="71"/>
        <n v="35"/>
        <n v="26"/>
        <n v="44"/>
        <n v="50"/>
        <n v="65"/>
        <n v="11"/>
        <n v="17"/>
        <n v="39"/>
        <n v="27"/>
        <n v="83"/>
        <n v="46"/>
        <n v="63"/>
        <n v="81"/>
        <n v="54"/>
        <n v="73"/>
        <n v="99"/>
        <n v="95"/>
        <n v="19"/>
        <n v="16"/>
        <n v="25"/>
        <n v="76"/>
        <n v="55"/>
        <n v="86"/>
        <n v="88"/>
        <n v="96"/>
        <n v="15"/>
        <n v="98"/>
        <n v="75"/>
        <n v="12"/>
        <n v="43"/>
        <n v="64"/>
      </sharedItems>
    </cacheField>
    <cacheField name="Total Sales" numFmtId="0">
      <sharedItems containsSemiMixedTypes="0" containsString="0" containsNumber="1" containsInteger="1" minValue="143" maxValue="389" count="102">
        <n v="339"/>
        <n v="239"/>
        <n v="379"/>
        <n v="288"/>
        <n v="213"/>
        <n v="265"/>
        <n v="369"/>
        <n v="285"/>
        <n v="189"/>
        <n v="219"/>
        <n v="376"/>
        <n v="332"/>
        <n v="199"/>
        <n v="306"/>
        <n v="291"/>
        <n v="252"/>
        <n v="253"/>
        <n v="367"/>
        <n v="301"/>
        <n v="202"/>
        <n v="183"/>
        <n v="344"/>
        <n v="276"/>
        <n v="357"/>
        <n v="324"/>
        <n v="341"/>
        <n v="353"/>
        <n v="176"/>
        <n v="230"/>
        <n v="223"/>
        <n v="323"/>
        <n v="214"/>
        <n v="335"/>
        <n v="264"/>
        <n v="274"/>
        <n v="232"/>
        <n v="207"/>
        <n v="371"/>
        <n v="206"/>
        <n v="350"/>
        <n v="192"/>
        <n v="233"/>
        <n v="292"/>
        <n v="340"/>
        <n v="270"/>
        <n v="249"/>
        <n v="322"/>
        <n v="260"/>
        <n v="284"/>
        <n v="300"/>
        <n v="217"/>
        <n v="246"/>
        <n v="267"/>
        <n v="385"/>
        <n v="328"/>
        <n v="166"/>
        <n v="342"/>
        <n v="293"/>
        <n v="171"/>
        <n v="229"/>
        <n v="156"/>
        <n v="208"/>
        <n v="143"/>
        <n v="254"/>
        <n v="224"/>
        <n v="287"/>
        <n v="286"/>
        <n v="245"/>
        <n v="281"/>
        <n v="317"/>
        <n v="351"/>
        <n v="209"/>
        <n v="290"/>
        <n v="384"/>
        <n v="349"/>
        <n v="215"/>
        <n v="318"/>
        <n v="205"/>
        <n v="234"/>
        <n v="303"/>
        <n v="268"/>
        <n v="220"/>
        <n v="228"/>
        <n v="374"/>
        <n v="211"/>
        <n v="236"/>
        <n v="355"/>
        <n v="320"/>
        <n v="389"/>
        <n v="311"/>
        <n v="243"/>
        <n v="283"/>
        <n v="280"/>
        <n v="258"/>
        <n v="316"/>
        <n v="327"/>
        <n v="302"/>
        <n v="273"/>
        <n v="307"/>
        <n v="346"/>
        <n v="271"/>
        <n v="382"/>
      </sharedItems>
    </cacheField>
    <cacheField name="Target" numFmtId="0">
      <sharedItems containsSemiMixedTypes="0" containsString="0" containsNumber="1" containsInteger="1" minValue="500" maxValue="500" count="1">
        <n v="500"/>
      </sharedItems>
    </cacheField>
    <cacheField name="Target Hit %" numFmtId="10">
      <sharedItems containsSemiMixedTypes="0" containsString="0" containsNumber="1" minValue="0.286" maxValue="0.778" count="102">
        <n v="0.678"/>
        <n v="0.478"/>
        <n v="0.758"/>
        <n v="0.576"/>
        <n v="0.426"/>
        <n v="0.53"/>
        <n v="0.738"/>
        <n v="0.57"/>
        <n v="0.378"/>
        <n v="0.438"/>
        <n v="0.752"/>
        <n v="0.664"/>
        <n v="0.398"/>
        <n v="0.612"/>
        <n v="0.582"/>
        <n v="0.504"/>
        <n v="0.506"/>
        <n v="0.734"/>
        <n v="0.602"/>
        <n v="0.404"/>
        <n v="0.366"/>
        <n v="0.688"/>
        <n v="0.552"/>
        <n v="0.714"/>
        <n v="0.648"/>
        <n v="0.682"/>
        <n v="0.706"/>
        <n v="0.352"/>
        <n v="0.46"/>
        <n v="0.446"/>
        <n v="0.646"/>
        <n v="0.428"/>
        <n v="0.67"/>
        <n v="0.528"/>
        <n v="0.548"/>
        <n v="0.464"/>
        <n v="0.414"/>
        <n v="0.742"/>
        <n v="0.412"/>
        <n v="0.7"/>
        <n v="0.384"/>
        <n v="0.466"/>
        <n v="0.584"/>
        <n v="0.68"/>
        <n v="0.54"/>
        <n v="0.498"/>
        <n v="0.644"/>
        <n v="0.52"/>
        <n v="0.568"/>
        <n v="0.6"/>
        <n v="0.434"/>
        <n v="0.492"/>
        <n v="0.534"/>
        <n v="0.77"/>
        <n v="0.656"/>
        <n v="0.332"/>
        <n v="0.684"/>
        <n v="0.586"/>
        <n v="0.342"/>
        <n v="0.458"/>
        <n v="0.312"/>
        <n v="0.416"/>
        <n v="0.286"/>
        <n v="0.508"/>
        <n v="0.448"/>
        <n v="0.574"/>
        <n v="0.572"/>
        <n v="0.49"/>
        <n v="0.562"/>
        <n v="0.634"/>
        <n v="0.702"/>
        <n v="0.418"/>
        <n v="0.58"/>
        <n v="0.768"/>
        <n v="0.698"/>
        <n v="0.43"/>
        <n v="0.636"/>
        <n v="0.41"/>
        <n v="0.468"/>
        <n v="0.606"/>
        <n v="0.536"/>
        <n v="0.44"/>
        <n v="0.456"/>
        <n v="0.748"/>
        <n v="0.422"/>
        <n v="0.472"/>
        <n v="0.71"/>
        <n v="0.64"/>
        <n v="0.778"/>
        <n v="0.622"/>
        <n v="0.486"/>
        <n v="0.566"/>
        <n v="0.56"/>
        <n v="0.516"/>
        <n v="0.632"/>
        <n v="0.654"/>
        <n v="0.604"/>
        <n v="0.546"/>
        <n v="0.614"/>
        <n v="0.692"/>
        <n v="0.542"/>
        <n v="0.764"/>
      </sharedItems>
    </cacheField>
    <cacheField name="Away From Target %" numFmtId="10">
      <sharedItems containsSemiMixedTypes="0" containsString="0" containsNumber="1" minValue="0.222" maxValue="0.714" count="102">
        <n v="0.322"/>
        <n v="0.522"/>
        <n v="0.242"/>
        <n v="0.424"/>
        <n v="0.574"/>
        <n v="0.47"/>
        <n v="0.262"/>
        <n v="0.43"/>
        <n v="0.622"/>
        <n v="0.562"/>
        <n v="0.248"/>
        <n v="0.336"/>
        <n v="0.602"/>
        <n v="0.388"/>
        <n v="0.418"/>
        <n v="0.496"/>
        <n v="0.494"/>
        <n v="0.266"/>
        <n v="0.398"/>
        <n v="0.596"/>
        <n v="0.634"/>
        <n v="0.312"/>
        <n v="0.448"/>
        <n v="0.286"/>
        <n v="0.352"/>
        <n v="0.318"/>
        <n v="0.294"/>
        <n v="0.648"/>
        <n v="0.54"/>
        <n v="0.554"/>
        <n v="0.354"/>
        <n v="0.572"/>
        <n v="0.33"/>
        <n v="0.472"/>
        <n v="0.452"/>
        <n v="0.536"/>
        <n v="0.586"/>
        <n v="0.258"/>
        <n v="0.588"/>
        <n v="0.3"/>
        <n v="0.616"/>
        <n v="0.534"/>
        <n v="0.416"/>
        <n v="0.32"/>
        <n v="0.46"/>
        <n v="0.502"/>
        <n v="0.356"/>
        <n v="0.48"/>
        <n v="0.432"/>
        <n v="0.4"/>
        <n v="0.566"/>
        <n v="0.508"/>
        <n v="0.466"/>
        <n v="0.23"/>
        <n v="0.344"/>
        <n v="0.668"/>
        <n v="0.316"/>
        <n v="0.414"/>
        <n v="0.658"/>
        <n v="0.542"/>
        <n v="0.688"/>
        <n v="0.584"/>
        <n v="0.714"/>
        <n v="0.492"/>
        <n v="0.552"/>
        <n v="0.426"/>
        <n v="0.428"/>
        <n v="0.51"/>
        <n v="0.438"/>
        <n v="0.366"/>
        <n v="0.298"/>
        <n v="0.582"/>
        <n v="0.42"/>
        <n v="0.232"/>
        <n v="0.302"/>
        <n v="0.57"/>
        <n v="0.364"/>
        <n v="0.59"/>
        <n v="0.532"/>
        <n v="0.394"/>
        <n v="0.464"/>
        <n v="0.56"/>
        <n v="0.544"/>
        <n v="0.252"/>
        <n v="0.578"/>
        <n v="0.528"/>
        <n v="0.29"/>
        <n v="0.36"/>
        <n v="0.222"/>
        <n v="0.378"/>
        <n v="0.514"/>
        <n v="0.434"/>
        <n v="0.44"/>
        <n v="0.484"/>
        <n v="0.368"/>
        <n v="0.346"/>
        <n v="0.396"/>
        <n v="0.454"/>
        <n v="0.386"/>
        <n v="0.308"/>
        <n v="0.458"/>
        <n v="0.236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1">
  <r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  <x v="0"/>
    <x v="1"/>
    <x v="1"/>
  </r>
  <r>
    <x v="2"/>
    <x v="2"/>
    <x v="1"/>
    <x v="2"/>
    <x v="2"/>
    <x v="2"/>
    <x v="2"/>
    <x v="2"/>
    <x v="2"/>
    <x v="0"/>
    <x v="2"/>
    <x v="2"/>
  </r>
  <r>
    <x v="3"/>
    <x v="3"/>
    <x v="1"/>
    <x v="3"/>
    <x v="3"/>
    <x v="3"/>
    <x v="3"/>
    <x v="3"/>
    <x v="3"/>
    <x v="0"/>
    <x v="3"/>
    <x v="3"/>
  </r>
  <r>
    <x v="4"/>
    <x v="4"/>
    <x v="2"/>
    <x v="4"/>
    <x v="4"/>
    <x v="4"/>
    <x v="4"/>
    <x v="4"/>
    <x v="4"/>
    <x v="0"/>
    <x v="4"/>
    <x v="4"/>
  </r>
  <r>
    <x v="5"/>
    <x v="5"/>
    <x v="3"/>
    <x v="5"/>
    <x v="5"/>
    <x v="5"/>
    <x v="5"/>
    <x v="5"/>
    <x v="5"/>
    <x v="0"/>
    <x v="5"/>
    <x v="5"/>
  </r>
  <r>
    <x v="6"/>
    <x v="6"/>
    <x v="1"/>
    <x v="6"/>
    <x v="6"/>
    <x v="0"/>
    <x v="6"/>
    <x v="6"/>
    <x v="6"/>
    <x v="0"/>
    <x v="6"/>
    <x v="6"/>
  </r>
  <r>
    <x v="7"/>
    <x v="7"/>
    <x v="4"/>
    <x v="7"/>
    <x v="7"/>
    <x v="6"/>
    <x v="7"/>
    <x v="7"/>
    <x v="7"/>
    <x v="0"/>
    <x v="7"/>
    <x v="7"/>
  </r>
  <r>
    <x v="8"/>
    <x v="8"/>
    <x v="0"/>
    <x v="8"/>
    <x v="8"/>
    <x v="7"/>
    <x v="8"/>
    <x v="8"/>
    <x v="8"/>
    <x v="0"/>
    <x v="8"/>
    <x v="8"/>
  </r>
  <r>
    <x v="9"/>
    <x v="9"/>
    <x v="1"/>
    <x v="3"/>
    <x v="9"/>
    <x v="8"/>
    <x v="9"/>
    <x v="9"/>
    <x v="4"/>
    <x v="0"/>
    <x v="4"/>
    <x v="4"/>
  </r>
  <r>
    <x v="10"/>
    <x v="10"/>
    <x v="3"/>
    <x v="9"/>
    <x v="10"/>
    <x v="9"/>
    <x v="5"/>
    <x v="10"/>
    <x v="9"/>
    <x v="0"/>
    <x v="9"/>
    <x v="9"/>
  </r>
  <r>
    <x v="11"/>
    <x v="11"/>
    <x v="0"/>
    <x v="10"/>
    <x v="3"/>
    <x v="10"/>
    <x v="10"/>
    <x v="11"/>
    <x v="10"/>
    <x v="0"/>
    <x v="10"/>
    <x v="10"/>
  </r>
  <r>
    <x v="12"/>
    <x v="12"/>
    <x v="3"/>
    <x v="11"/>
    <x v="11"/>
    <x v="11"/>
    <x v="11"/>
    <x v="12"/>
    <x v="11"/>
    <x v="0"/>
    <x v="11"/>
    <x v="11"/>
  </r>
  <r>
    <x v="13"/>
    <x v="13"/>
    <x v="5"/>
    <x v="12"/>
    <x v="12"/>
    <x v="12"/>
    <x v="12"/>
    <x v="13"/>
    <x v="3"/>
    <x v="0"/>
    <x v="3"/>
    <x v="3"/>
  </r>
  <r>
    <x v="14"/>
    <x v="14"/>
    <x v="6"/>
    <x v="13"/>
    <x v="13"/>
    <x v="13"/>
    <x v="13"/>
    <x v="14"/>
    <x v="7"/>
    <x v="0"/>
    <x v="7"/>
    <x v="7"/>
  </r>
  <r>
    <x v="15"/>
    <x v="15"/>
    <x v="2"/>
    <x v="14"/>
    <x v="14"/>
    <x v="14"/>
    <x v="14"/>
    <x v="15"/>
    <x v="12"/>
    <x v="0"/>
    <x v="12"/>
    <x v="12"/>
  </r>
  <r>
    <x v="16"/>
    <x v="16"/>
    <x v="7"/>
    <x v="15"/>
    <x v="15"/>
    <x v="15"/>
    <x v="15"/>
    <x v="16"/>
    <x v="13"/>
    <x v="0"/>
    <x v="13"/>
    <x v="13"/>
  </r>
  <r>
    <x v="17"/>
    <x v="17"/>
    <x v="7"/>
    <x v="16"/>
    <x v="16"/>
    <x v="16"/>
    <x v="16"/>
    <x v="15"/>
    <x v="14"/>
    <x v="0"/>
    <x v="14"/>
    <x v="14"/>
  </r>
  <r>
    <x v="18"/>
    <x v="18"/>
    <x v="4"/>
    <x v="17"/>
    <x v="17"/>
    <x v="17"/>
    <x v="17"/>
    <x v="17"/>
    <x v="15"/>
    <x v="0"/>
    <x v="15"/>
    <x v="15"/>
  </r>
  <r>
    <x v="19"/>
    <x v="19"/>
    <x v="7"/>
    <x v="18"/>
    <x v="0"/>
    <x v="3"/>
    <x v="18"/>
    <x v="18"/>
    <x v="16"/>
    <x v="0"/>
    <x v="16"/>
    <x v="16"/>
  </r>
  <r>
    <x v="20"/>
    <x v="20"/>
    <x v="2"/>
    <x v="19"/>
    <x v="18"/>
    <x v="18"/>
    <x v="19"/>
    <x v="7"/>
    <x v="17"/>
    <x v="0"/>
    <x v="17"/>
    <x v="17"/>
  </r>
  <r>
    <x v="21"/>
    <x v="21"/>
    <x v="3"/>
    <x v="20"/>
    <x v="10"/>
    <x v="19"/>
    <x v="20"/>
    <x v="19"/>
    <x v="18"/>
    <x v="0"/>
    <x v="18"/>
    <x v="18"/>
  </r>
  <r>
    <x v="22"/>
    <x v="22"/>
    <x v="1"/>
    <x v="21"/>
    <x v="6"/>
    <x v="20"/>
    <x v="21"/>
    <x v="20"/>
    <x v="19"/>
    <x v="0"/>
    <x v="19"/>
    <x v="19"/>
  </r>
  <r>
    <x v="23"/>
    <x v="23"/>
    <x v="2"/>
    <x v="22"/>
    <x v="19"/>
    <x v="21"/>
    <x v="22"/>
    <x v="21"/>
    <x v="20"/>
    <x v="0"/>
    <x v="20"/>
    <x v="20"/>
  </r>
  <r>
    <x v="24"/>
    <x v="24"/>
    <x v="4"/>
    <x v="23"/>
    <x v="3"/>
    <x v="22"/>
    <x v="23"/>
    <x v="3"/>
    <x v="21"/>
    <x v="0"/>
    <x v="21"/>
    <x v="21"/>
  </r>
  <r>
    <x v="25"/>
    <x v="25"/>
    <x v="6"/>
    <x v="24"/>
    <x v="20"/>
    <x v="23"/>
    <x v="19"/>
    <x v="22"/>
    <x v="22"/>
    <x v="0"/>
    <x v="22"/>
    <x v="22"/>
  </r>
  <r>
    <x v="26"/>
    <x v="26"/>
    <x v="0"/>
    <x v="25"/>
    <x v="21"/>
    <x v="24"/>
    <x v="24"/>
    <x v="23"/>
    <x v="23"/>
    <x v="0"/>
    <x v="23"/>
    <x v="23"/>
  </r>
  <r>
    <x v="27"/>
    <x v="27"/>
    <x v="1"/>
    <x v="26"/>
    <x v="22"/>
    <x v="25"/>
    <x v="25"/>
    <x v="24"/>
    <x v="24"/>
    <x v="0"/>
    <x v="24"/>
    <x v="24"/>
  </r>
  <r>
    <x v="28"/>
    <x v="28"/>
    <x v="4"/>
    <x v="27"/>
    <x v="23"/>
    <x v="16"/>
    <x v="26"/>
    <x v="25"/>
    <x v="25"/>
    <x v="0"/>
    <x v="25"/>
    <x v="25"/>
  </r>
  <r>
    <x v="29"/>
    <x v="29"/>
    <x v="1"/>
    <x v="12"/>
    <x v="16"/>
    <x v="26"/>
    <x v="8"/>
    <x v="26"/>
    <x v="26"/>
    <x v="0"/>
    <x v="26"/>
    <x v="26"/>
  </r>
  <r>
    <x v="30"/>
    <x v="30"/>
    <x v="4"/>
    <x v="28"/>
    <x v="24"/>
    <x v="9"/>
    <x v="12"/>
    <x v="16"/>
    <x v="27"/>
    <x v="0"/>
    <x v="27"/>
    <x v="27"/>
  </r>
  <r>
    <x v="31"/>
    <x v="31"/>
    <x v="2"/>
    <x v="15"/>
    <x v="25"/>
    <x v="8"/>
    <x v="27"/>
    <x v="27"/>
    <x v="28"/>
    <x v="0"/>
    <x v="28"/>
    <x v="28"/>
  </r>
  <r>
    <x v="32"/>
    <x v="32"/>
    <x v="2"/>
    <x v="12"/>
    <x v="16"/>
    <x v="27"/>
    <x v="28"/>
    <x v="21"/>
    <x v="11"/>
    <x v="0"/>
    <x v="11"/>
    <x v="11"/>
  </r>
  <r>
    <x v="33"/>
    <x v="33"/>
    <x v="4"/>
    <x v="6"/>
    <x v="26"/>
    <x v="28"/>
    <x v="29"/>
    <x v="28"/>
    <x v="29"/>
    <x v="0"/>
    <x v="29"/>
    <x v="29"/>
  </r>
  <r>
    <x v="34"/>
    <x v="34"/>
    <x v="6"/>
    <x v="29"/>
    <x v="4"/>
    <x v="29"/>
    <x v="30"/>
    <x v="29"/>
    <x v="30"/>
    <x v="0"/>
    <x v="30"/>
    <x v="30"/>
  </r>
  <r>
    <x v="35"/>
    <x v="35"/>
    <x v="5"/>
    <x v="23"/>
    <x v="27"/>
    <x v="8"/>
    <x v="31"/>
    <x v="30"/>
    <x v="31"/>
    <x v="0"/>
    <x v="31"/>
    <x v="31"/>
  </r>
  <r>
    <x v="36"/>
    <x v="36"/>
    <x v="1"/>
    <x v="30"/>
    <x v="28"/>
    <x v="29"/>
    <x v="26"/>
    <x v="27"/>
    <x v="32"/>
    <x v="0"/>
    <x v="32"/>
    <x v="32"/>
  </r>
  <r>
    <x v="37"/>
    <x v="37"/>
    <x v="5"/>
    <x v="31"/>
    <x v="26"/>
    <x v="30"/>
    <x v="32"/>
    <x v="31"/>
    <x v="33"/>
    <x v="0"/>
    <x v="33"/>
    <x v="33"/>
  </r>
  <r>
    <x v="38"/>
    <x v="38"/>
    <x v="2"/>
    <x v="32"/>
    <x v="29"/>
    <x v="2"/>
    <x v="33"/>
    <x v="20"/>
    <x v="34"/>
    <x v="0"/>
    <x v="34"/>
    <x v="34"/>
  </r>
  <r>
    <x v="39"/>
    <x v="39"/>
    <x v="6"/>
    <x v="15"/>
    <x v="30"/>
    <x v="31"/>
    <x v="30"/>
    <x v="32"/>
    <x v="35"/>
    <x v="0"/>
    <x v="35"/>
    <x v="35"/>
  </r>
  <r>
    <x v="40"/>
    <x v="40"/>
    <x v="1"/>
    <x v="24"/>
    <x v="16"/>
    <x v="32"/>
    <x v="34"/>
    <x v="33"/>
    <x v="36"/>
    <x v="0"/>
    <x v="36"/>
    <x v="36"/>
  </r>
  <r>
    <x v="41"/>
    <x v="41"/>
    <x v="1"/>
    <x v="23"/>
    <x v="7"/>
    <x v="33"/>
    <x v="35"/>
    <x v="34"/>
    <x v="37"/>
    <x v="0"/>
    <x v="37"/>
    <x v="37"/>
  </r>
  <r>
    <x v="42"/>
    <x v="42"/>
    <x v="7"/>
    <x v="5"/>
    <x v="19"/>
    <x v="34"/>
    <x v="36"/>
    <x v="35"/>
    <x v="38"/>
    <x v="0"/>
    <x v="38"/>
    <x v="38"/>
  </r>
  <r>
    <x v="43"/>
    <x v="43"/>
    <x v="4"/>
    <x v="33"/>
    <x v="10"/>
    <x v="14"/>
    <x v="31"/>
    <x v="36"/>
    <x v="4"/>
    <x v="0"/>
    <x v="4"/>
    <x v="4"/>
  </r>
  <r>
    <x v="44"/>
    <x v="44"/>
    <x v="3"/>
    <x v="34"/>
    <x v="31"/>
    <x v="35"/>
    <x v="35"/>
    <x v="37"/>
    <x v="7"/>
    <x v="0"/>
    <x v="7"/>
    <x v="7"/>
  </r>
  <r>
    <x v="45"/>
    <x v="45"/>
    <x v="3"/>
    <x v="0"/>
    <x v="32"/>
    <x v="10"/>
    <x v="33"/>
    <x v="38"/>
    <x v="39"/>
    <x v="0"/>
    <x v="39"/>
    <x v="39"/>
  </r>
  <r>
    <x v="46"/>
    <x v="46"/>
    <x v="7"/>
    <x v="35"/>
    <x v="11"/>
    <x v="36"/>
    <x v="34"/>
    <x v="39"/>
    <x v="40"/>
    <x v="0"/>
    <x v="40"/>
    <x v="40"/>
  </r>
  <r>
    <x v="47"/>
    <x v="47"/>
    <x v="6"/>
    <x v="33"/>
    <x v="33"/>
    <x v="33"/>
    <x v="8"/>
    <x v="22"/>
    <x v="41"/>
    <x v="0"/>
    <x v="41"/>
    <x v="41"/>
  </r>
  <r>
    <x v="48"/>
    <x v="48"/>
    <x v="0"/>
    <x v="7"/>
    <x v="34"/>
    <x v="6"/>
    <x v="37"/>
    <x v="40"/>
    <x v="42"/>
    <x v="0"/>
    <x v="42"/>
    <x v="42"/>
  </r>
  <r>
    <x v="49"/>
    <x v="49"/>
    <x v="1"/>
    <x v="35"/>
    <x v="0"/>
    <x v="37"/>
    <x v="27"/>
    <x v="41"/>
    <x v="43"/>
    <x v="0"/>
    <x v="43"/>
    <x v="43"/>
  </r>
  <r>
    <x v="50"/>
    <x v="50"/>
    <x v="0"/>
    <x v="3"/>
    <x v="35"/>
    <x v="38"/>
    <x v="38"/>
    <x v="42"/>
    <x v="44"/>
    <x v="0"/>
    <x v="44"/>
    <x v="44"/>
  </r>
  <r>
    <x v="51"/>
    <x v="51"/>
    <x v="0"/>
    <x v="27"/>
    <x v="36"/>
    <x v="39"/>
    <x v="12"/>
    <x v="43"/>
    <x v="45"/>
    <x v="0"/>
    <x v="45"/>
    <x v="45"/>
  </r>
  <r>
    <x v="52"/>
    <x v="52"/>
    <x v="5"/>
    <x v="36"/>
    <x v="37"/>
    <x v="30"/>
    <x v="39"/>
    <x v="44"/>
    <x v="46"/>
    <x v="0"/>
    <x v="46"/>
    <x v="46"/>
  </r>
  <r>
    <x v="53"/>
    <x v="53"/>
    <x v="2"/>
    <x v="37"/>
    <x v="38"/>
    <x v="35"/>
    <x v="40"/>
    <x v="6"/>
    <x v="8"/>
    <x v="0"/>
    <x v="8"/>
    <x v="8"/>
  </r>
  <r>
    <x v="54"/>
    <x v="54"/>
    <x v="3"/>
    <x v="38"/>
    <x v="36"/>
    <x v="19"/>
    <x v="3"/>
    <x v="45"/>
    <x v="47"/>
    <x v="0"/>
    <x v="47"/>
    <x v="47"/>
  </r>
  <r>
    <x v="55"/>
    <x v="55"/>
    <x v="4"/>
    <x v="39"/>
    <x v="39"/>
    <x v="40"/>
    <x v="41"/>
    <x v="46"/>
    <x v="40"/>
    <x v="0"/>
    <x v="40"/>
    <x v="40"/>
  </r>
  <r>
    <x v="56"/>
    <x v="56"/>
    <x v="5"/>
    <x v="21"/>
    <x v="30"/>
    <x v="41"/>
    <x v="42"/>
    <x v="47"/>
    <x v="48"/>
    <x v="0"/>
    <x v="48"/>
    <x v="48"/>
  </r>
  <r>
    <x v="57"/>
    <x v="57"/>
    <x v="4"/>
    <x v="40"/>
    <x v="7"/>
    <x v="12"/>
    <x v="18"/>
    <x v="48"/>
    <x v="42"/>
    <x v="0"/>
    <x v="42"/>
    <x v="42"/>
  </r>
  <r>
    <x v="58"/>
    <x v="58"/>
    <x v="1"/>
    <x v="12"/>
    <x v="40"/>
    <x v="25"/>
    <x v="43"/>
    <x v="20"/>
    <x v="49"/>
    <x v="0"/>
    <x v="49"/>
    <x v="49"/>
  </r>
  <r>
    <x v="59"/>
    <x v="59"/>
    <x v="1"/>
    <x v="41"/>
    <x v="41"/>
    <x v="42"/>
    <x v="44"/>
    <x v="30"/>
    <x v="33"/>
    <x v="0"/>
    <x v="33"/>
    <x v="33"/>
  </r>
  <r>
    <x v="60"/>
    <x v="60"/>
    <x v="3"/>
    <x v="22"/>
    <x v="42"/>
    <x v="8"/>
    <x v="8"/>
    <x v="20"/>
    <x v="50"/>
    <x v="0"/>
    <x v="50"/>
    <x v="50"/>
  </r>
  <r>
    <x v="61"/>
    <x v="61"/>
    <x v="0"/>
    <x v="1"/>
    <x v="30"/>
    <x v="43"/>
    <x v="21"/>
    <x v="9"/>
    <x v="51"/>
    <x v="0"/>
    <x v="51"/>
    <x v="51"/>
  </r>
  <r>
    <x v="62"/>
    <x v="62"/>
    <x v="5"/>
    <x v="42"/>
    <x v="43"/>
    <x v="35"/>
    <x v="16"/>
    <x v="22"/>
    <x v="52"/>
    <x v="0"/>
    <x v="52"/>
    <x v="52"/>
  </r>
  <r>
    <x v="63"/>
    <x v="63"/>
    <x v="7"/>
    <x v="43"/>
    <x v="44"/>
    <x v="44"/>
    <x v="35"/>
    <x v="4"/>
    <x v="53"/>
    <x v="0"/>
    <x v="53"/>
    <x v="53"/>
  </r>
  <r>
    <x v="64"/>
    <x v="64"/>
    <x v="4"/>
    <x v="33"/>
    <x v="31"/>
    <x v="18"/>
    <x v="2"/>
    <x v="22"/>
    <x v="54"/>
    <x v="0"/>
    <x v="54"/>
    <x v="54"/>
  </r>
  <r>
    <x v="65"/>
    <x v="65"/>
    <x v="2"/>
    <x v="1"/>
    <x v="35"/>
    <x v="11"/>
    <x v="18"/>
    <x v="32"/>
    <x v="55"/>
    <x v="0"/>
    <x v="55"/>
    <x v="55"/>
  </r>
  <r>
    <x v="66"/>
    <x v="66"/>
    <x v="4"/>
    <x v="44"/>
    <x v="2"/>
    <x v="45"/>
    <x v="17"/>
    <x v="49"/>
    <x v="56"/>
    <x v="0"/>
    <x v="56"/>
    <x v="56"/>
  </r>
  <r>
    <x v="67"/>
    <x v="67"/>
    <x v="4"/>
    <x v="32"/>
    <x v="9"/>
    <x v="23"/>
    <x v="45"/>
    <x v="1"/>
    <x v="57"/>
    <x v="0"/>
    <x v="57"/>
    <x v="57"/>
  </r>
  <r>
    <x v="68"/>
    <x v="68"/>
    <x v="4"/>
    <x v="2"/>
    <x v="8"/>
    <x v="46"/>
    <x v="46"/>
    <x v="31"/>
    <x v="58"/>
    <x v="0"/>
    <x v="58"/>
    <x v="58"/>
  </r>
  <r>
    <x v="69"/>
    <x v="69"/>
    <x v="5"/>
    <x v="45"/>
    <x v="8"/>
    <x v="47"/>
    <x v="43"/>
    <x v="50"/>
    <x v="59"/>
    <x v="0"/>
    <x v="59"/>
    <x v="59"/>
  </r>
  <r>
    <x v="70"/>
    <x v="70"/>
    <x v="3"/>
    <x v="19"/>
    <x v="35"/>
    <x v="35"/>
    <x v="47"/>
    <x v="51"/>
    <x v="60"/>
    <x v="0"/>
    <x v="60"/>
    <x v="60"/>
  </r>
  <r>
    <x v="71"/>
    <x v="71"/>
    <x v="4"/>
    <x v="46"/>
    <x v="45"/>
    <x v="21"/>
    <x v="48"/>
    <x v="10"/>
    <x v="61"/>
    <x v="0"/>
    <x v="61"/>
    <x v="61"/>
  </r>
  <r>
    <x v="72"/>
    <x v="72"/>
    <x v="0"/>
    <x v="47"/>
    <x v="46"/>
    <x v="45"/>
    <x v="49"/>
    <x v="25"/>
    <x v="62"/>
    <x v="0"/>
    <x v="62"/>
    <x v="62"/>
  </r>
  <r>
    <x v="73"/>
    <x v="73"/>
    <x v="5"/>
    <x v="47"/>
    <x v="10"/>
    <x v="40"/>
    <x v="23"/>
    <x v="52"/>
    <x v="63"/>
    <x v="0"/>
    <x v="63"/>
    <x v="63"/>
  </r>
  <r>
    <x v="74"/>
    <x v="74"/>
    <x v="2"/>
    <x v="48"/>
    <x v="7"/>
    <x v="14"/>
    <x v="50"/>
    <x v="0"/>
    <x v="64"/>
    <x v="0"/>
    <x v="64"/>
    <x v="64"/>
  </r>
  <r>
    <x v="75"/>
    <x v="75"/>
    <x v="1"/>
    <x v="17"/>
    <x v="34"/>
    <x v="48"/>
    <x v="51"/>
    <x v="53"/>
    <x v="65"/>
    <x v="0"/>
    <x v="65"/>
    <x v="65"/>
  </r>
  <r>
    <x v="76"/>
    <x v="76"/>
    <x v="5"/>
    <x v="49"/>
    <x v="47"/>
    <x v="39"/>
    <x v="0"/>
    <x v="23"/>
    <x v="66"/>
    <x v="0"/>
    <x v="66"/>
    <x v="66"/>
  </r>
  <r>
    <x v="77"/>
    <x v="77"/>
    <x v="4"/>
    <x v="50"/>
    <x v="48"/>
    <x v="45"/>
    <x v="52"/>
    <x v="21"/>
    <x v="67"/>
    <x v="0"/>
    <x v="67"/>
    <x v="67"/>
  </r>
  <r>
    <x v="78"/>
    <x v="78"/>
    <x v="6"/>
    <x v="22"/>
    <x v="32"/>
    <x v="39"/>
    <x v="53"/>
    <x v="15"/>
    <x v="68"/>
    <x v="0"/>
    <x v="68"/>
    <x v="68"/>
  </r>
  <r>
    <x v="79"/>
    <x v="79"/>
    <x v="4"/>
    <x v="37"/>
    <x v="49"/>
    <x v="49"/>
    <x v="17"/>
    <x v="54"/>
    <x v="69"/>
    <x v="0"/>
    <x v="69"/>
    <x v="69"/>
  </r>
  <r>
    <x v="80"/>
    <x v="80"/>
    <x v="7"/>
    <x v="51"/>
    <x v="50"/>
    <x v="14"/>
    <x v="3"/>
    <x v="55"/>
    <x v="70"/>
    <x v="0"/>
    <x v="70"/>
    <x v="70"/>
  </r>
  <r>
    <x v="81"/>
    <x v="81"/>
    <x v="0"/>
    <x v="52"/>
    <x v="51"/>
    <x v="50"/>
    <x v="54"/>
    <x v="39"/>
    <x v="71"/>
    <x v="0"/>
    <x v="71"/>
    <x v="71"/>
  </r>
  <r>
    <x v="82"/>
    <x v="82"/>
    <x v="7"/>
    <x v="53"/>
    <x v="49"/>
    <x v="17"/>
    <x v="9"/>
    <x v="36"/>
    <x v="72"/>
    <x v="0"/>
    <x v="72"/>
    <x v="72"/>
  </r>
  <r>
    <x v="83"/>
    <x v="83"/>
    <x v="2"/>
    <x v="54"/>
    <x v="52"/>
    <x v="2"/>
    <x v="25"/>
    <x v="56"/>
    <x v="73"/>
    <x v="0"/>
    <x v="73"/>
    <x v="73"/>
  </r>
  <r>
    <x v="84"/>
    <x v="84"/>
    <x v="6"/>
    <x v="55"/>
    <x v="21"/>
    <x v="51"/>
    <x v="6"/>
    <x v="57"/>
    <x v="74"/>
    <x v="0"/>
    <x v="74"/>
    <x v="74"/>
  </r>
  <r>
    <x v="85"/>
    <x v="85"/>
    <x v="4"/>
    <x v="56"/>
    <x v="53"/>
    <x v="52"/>
    <x v="40"/>
    <x v="22"/>
    <x v="75"/>
    <x v="0"/>
    <x v="75"/>
    <x v="75"/>
  </r>
  <r>
    <x v="86"/>
    <x v="86"/>
    <x v="1"/>
    <x v="40"/>
    <x v="47"/>
    <x v="53"/>
    <x v="55"/>
    <x v="58"/>
    <x v="71"/>
    <x v="0"/>
    <x v="71"/>
    <x v="71"/>
  </r>
  <r>
    <x v="87"/>
    <x v="87"/>
    <x v="2"/>
    <x v="46"/>
    <x v="2"/>
    <x v="54"/>
    <x v="56"/>
    <x v="59"/>
    <x v="13"/>
    <x v="0"/>
    <x v="13"/>
    <x v="13"/>
  </r>
  <r>
    <x v="88"/>
    <x v="88"/>
    <x v="3"/>
    <x v="25"/>
    <x v="32"/>
    <x v="47"/>
    <x v="8"/>
    <x v="22"/>
    <x v="68"/>
    <x v="0"/>
    <x v="68"/>
    <x v="68"/>
  </r>
  <r>
    <x v="89"/>
    <x v="89"/>
    <x v="4"/>
    <x v="16"/>
    <x v="15"/>
    <x v="4"/>
    <x v="57"/>
    <x v="60"/>
    <x v="76"/>
    <x v="0"/>
    <x v="76"/>
    <x v="76"/>
  </r>
  <r>
    <x v="90"/>
    <x v="90"/>
    <x v="6"/>
    <x v="34"/>
    <x v="18"/>
    <x v="55"/>
    <x v="24"/>
    <x v="58"/>
    <x v="49"/>
    <x v="0"/>
    <x v="49"/>
    <x v="49"/>
  </r>
  <r>
    <x v="91"/>
    <x v="91"/>
    <x v="5"/>
    <x v="18"/>
    <x v="54"/>
    <x v="6"/>
    <x v="16"/>
    <x v="25"/>
    <x v="68"/>
    <x v="0"/>
    <x v="68"/>
    <x v="68"/>
  </r>
  <r>
    <x v="92"/>
    <x v="92"/>
    <x v="4"/>
    <x v="39"/>
    <x v="55"/>
    <x v="56"/>
    <x v="58"/>
    <x v="61"/>
    <x v="67"/>
    <x v="0"/>
    <x v="67"/>
    <x v="67"/>
  </r>
  <r>
    <x v="93"/>
    <x v="93"/>
    <x v="1"/>
    <x v="57"/>
    <x v="38"/>
    <x v="56"/>
    <x v="41"/>
    <x v="47"/>
    <x v="77"/>
    <x v="0"/>
    <x v="77"/>
    <x v="77"/>
  </r>
  <r>
    <x v="94"/>
    <x v="94"/>
    <x v="7"/>
    <x v="15"/>
    <x v="30"/>
    <x v="57"/>
    <x v="59"/>
    <x v="62"/>
    <x v="78"/>
    <x v="0"/>
    <x v="78"/>
    <x v="78"/>
  </r>
  <r>
    <x v="95"/>
    <x v="95"/>
    <x v="7"/>
    <x v="4"/>
    <x v="2"/>
    <x v="27"/>
    <x v="26"/>
    <x v="63"/>
    <x v="35"/>
    <x v="0"/>
    <x v="35"/>
    <x v="35"/>
  </r>
  <r>
    <x v="96"/>
    <x v="96"/>
    <x v="1"/>
    <x v="58"/>
    <x v="56"/>
    <x v="42"/>
    <x v="26"/>
    <x v="64"/>
    <x v="67"/>
    <x v="0"/>
    <x v="67"/>
    <x v="67"/>
  </r>
  <r>
    <x v="97"/>
    <x v="97"/>
    <x v="2"/>
    <x v="37"/>
    <x v="49"/>
    <x v="58"/>
    <x v="60"/>
    <x v="64"/>
    <x v="66"/>
    <x v="0"/>
    <x v="66"/>
    <x v="66"/>
  </r>
  <r>
    <x v="98"/>
    <x v="98"/>
    <x v="4"/>
    <x v="35"/>
    <x v="7"/>
    <x v="59"/>
    <x v="58"/>
    <x v="65"/>
    <x v="79"/>
    <x v="0"/>
    <x v="79"/>
    <x v="79"/>
  </r>
  <r>
    <x v="99"/>
    <x v="99"/>
    <x v="6"/>
    <x v="59"/>
    <x v="57"/>
    <x v="53"/>
    <x v="61"/>
    <x v="29"/>
    <x v="76"/>
    <x v="0"/>
    <x v="76"/>
    <x v="76"/>
  </r>
  <r>
    <x v="100"/>
    <x v="100"/>
    <x v="0"/>
    <x v="0"/>
    <x v="12"/>
    <x v="21"/>
    <x v="60"/>
    <x v="66"/>
    <x v="80"/>
    <x v="0"/>
    <x v="80"/>
    <x v="80"/>
  </r>
  <r>
    <x v="101"/>
    <x v="101"/>
    <x v="3"/>
    <x v="54"/>
    <x v="11"/>
    <x v="8"/>
    <x v="3"/>
    <x v="52"/>
    <x v="46"/>
    <x v="0"/>
    <x v="46"/>
    <x v="46"/>
  </r>
  <r>
    <x v="102"/>
    <x v="102"/>
    <x v="6"/>
    <x v="60"/>
    <x v="38"/>
    <x v="28"/>
    <x v="62"/>
    <x v="17"/>
    <x v="81"/>
    <x v="0"/>
    <x v="81"/>
    <x v="81"/>
  </r>
  <r>
    <x v="103"/>
    <x v="103"/>
    <x v="2"/>
    <x v="5"/>
    <x v="28"/>
    <x v="26"/>
    <x v="63"/>
    <x v="54"/>
    <x v="13"/>
    <x v="0"/>
    <x v="13"/>
    <x v="13"/>
  </r>
  <r>
    <x v="104"/>
    <x v="104"/>
    <x v="2"/>
    <x v="36"/>
    <x v="58"/>
    <x v="60"/>
    <x v="17"/>
    <x v="67"/>
    <x v="70"/>
    <x v="0"/>
    <x v="70"/>
    <x v="70"/>
  </r>
  <r>
    <x v="105"/>
    <x v="105"/>
    <x v="6"/>
    <x v="61"/>
    <x v="18"/>
    <x v="13"/>
    <x v="64"/>
    <x v="32"/>
    <x v="82"/>
    <x v="0"/>
    <x v="82"/>
    <x v="82"/>
  </r>
  <r>
    <x v="106"/>
    <x v="106"/>
    <x v="4"/>
    <x v="61"/>
    <x v="59"/>
    <x v="7"/>
    <x v="11"/>
    <x v="11"/>
    <x v="83"/>
    <x v="0"/>
    <x v="83"/>
    <x v="83"/>
  </r>
  <r>
    <x v="107"/>
    <x v="107"/>
    <x v="2"/>
    <x v="43"/>
    <x v="60"/>
    <x v="46"/>
    <x v="4"/>
    <x v="32"/>
    <x v="84"/>
    <x v="0"/>
    <x v="84"/>
    <x v="84"/>
  </r>
  <r>
    <x v="108"/>
    <x v="108"/>
    <x v="3"/>
    <x v="62"/>
    <x v="5"/>
    <x v="28"/>
    <x v="56"/>
    <x v="54"/>
    <x v="85"/>
    <x v="0"/>
    <x v="85"/>
    <x v="85"/>
  </r>
  <r>
    <x v="109"/>
    <x v="109"/>
    <x v="4"/>
    <x v="12"/>
    <x v="61"/>
    <x v="61"/>
    <x v="43"/>
    <x v="61"/>
    <x v="86"/>
    <x v="0"/>
    <x v="86"/>
    <x v="86"/>
  </r>
  <r>
    <x v="110"/>
    <x v="110"/>
    <x v="6"/>
    <x v="55"/>
    <x v="9"/>
    <x v="39"/>
    <x v="39"/>
    <x v="33"/>
    <x v="87"/>
    <x v="0"/>
    <x v="87"/>
    <x v="87"/>
  </r>
  <r>
    <x v="111"/>
    <x v="111"/>
    <x v="2"/>
    <x v="18"/>
    <x v="45"/>
    <x v="62"/>
    <x v="65"/>
    <x v="40"/>
    <x v="88"/>
    <x v="0"/>
    <x v="88"/>
    <x v="88"/>
  </r>
  <r>
    <x v="112"/>
    <x v="112"/>
    <x v="6"/>
    <x v="42"/>
    <x v="11"/>
    <x v="63"/>
    <x v="34"/>
    <x v="11"/>
    <x v="89"/>
    <x v="0"/>
    <x v="89"/>
    <x v="89"/>
  </r>
  <r>
    <x v="113"/>
    <x v="113"/>
    <x v="6"/>
    <x v="44"/>
    <x v="47"/>
    <x v="11"/>
    <x v="53"/>
    <x v="68"/>
    <x v="90"/>
    <x v="0"/>
    <x v="90"/>
    <x v="90"/>
  </r>
  <r>
    <x v="114"/>
    <x v="114"/>
    <x v="6"/>
    <x v="2"/>
    <x v="57"/>
    <x v="64"/>
    <x v="22"/>
    <x v="20"/>
    <x v="31"/>
    <x v="0"/>
    <x v="31"/>
    <x v="31"/>
  </r>
  <r>
    <x v="115"/>
    <x v="115"/>
    <x v="3"/>
    <x v="51"/>
    <x v="54"/>
    <x v="27"/>
    <x v="56"/>
    <x v="69"/>
    <x v="91"/>
    <x v="0"/>
    <x v="91"/>
    <x v="91"/>
  </r>
  <r>
    <x v="116"/>
    <x v="116"/>
    <x v="1"/>
    <x v="63"/>
    <x v="62"/>
    <x v="27"/>
    <x v="66"/>
    <x v="32"/>
    <x v="55"/>
    <x v="0"/>
    <x v="55"/>
    <x v="55"/>
  </r>
  <r>
    <x v="117"/>
    <x v="117"/>
    <x v="7"/>
    <x v="63"/>
    <x v="63"/>
    <x v="44"/>
    <x v="67"/>
    <x v="22"/>
    <x v="92"/>
    <x v="0"/>
    <x v="92"/>
    <x v="92"/>
  </r>
  <r>
    <x v="118"/>
    <x v="118"/>
    <x v="3"/>
    <x v="18"/>
    <x v="46"/>
    <x v="65"/>
    <x v="41"/>
    <x v="32"/>
    <x v="93"/>
    <x v="0"/>
    <x v="93"/>
    <x v="93"/>
  </r>
  <r>
    <x v="119"/>
    <x v="119"/>
    <x v="1"/>
    <x v="27"/>
    <x v="64"/>
    <x v="19"/>
    <x v="68"/>
    <x v="70"/>
    <x v="94"/>
    <x v="0"/>
    <x v="94"/>
    <x v="94"/>
  </r>
  <r>
    <x v="120"/>
    <x v="120"/>
    <x v="6"/>
    <x v="30"/>
    <x v="22"/>
    <x v="32"/>
    <x v="32"/>
    <x v="54"/>
    <x v="49"/>
    <x v="0"/>
    <x v="49"/>
    <x v="49"/>
  </r>
  <r>
    <x v="121"/>
    <x v="121"/>
    <x v="5"/>
    <x v="64"/>
    <x v="50"/>
    <x v="14"/>
    <x v="14"/>
    <x v="71"/>
    <x v="95"/>
    <x v="0"/>
    <x v="95"/>
    <x v="95"/>
  </r>
  <r>
    <x v="122"/>
    <x v="122"/>
    <x v="0"/>
    <x v="65"/>
    <x v="49"/>
    <x v="66"/>
    <x v="59"/>
    <x v="28"/>
    <x v="64"/>
    <x v="0"/>
    <x v="64"/>
    <x v="64"/>
  </r>
  <r>
    <x v="123"/>
    <x v="123"/>
    <x v="3"/>
    <x v="63"/>
    <x v="33"/>
    <x v="64"/>
    <x v="69"/>
    <x v="48"/>
    <x v="67"/>
    <x v="0"/>
    <x v="67"/>
    <x v="67"/>
  </r>
  <r>
    <x v="124"/>
    <x v="124"/>
    <x v="1"/>
    <x v="58"/>
    <x v="41"/>
    <x v="67"/>
    <x v="15"/>
    <x v="72"/>
    <x v="96"/>
    <x v="0"/>
    <x v="96"/>
    <x v="96"/>
  </r>
  <r>
    <x v="125"/>
    <x v="125"/>
    <x v="7"/>
    <x v="47"/>
    <x v="24"/>
    <x v="19"/>
    <x v="14"/>
    <x v="1"/>
    <x v="97"/>
    <x v="0"/>
    <x v="97"/>
    <x v="97"/>
  </r>
  <r>
    <x v="126"/>
    <x v="126"/>
    <x v="1"/>
    <x v="66"/>
    <x v="64"/>
    <x v="61"/>
    <x v="36"/>
    <x v="38"/>
    <x v="46"/>
    <x v="0"/>
    <x v="46"/>
    <x v="46"/>
  </r>
  <r>
    <x v="127"/>
    <x v="127"/>
    <x v="6"/>
    <x v="67"/>
    <x v="65"/>
    <x v="8"/>
    <x v="51"/>
    <x v="63"/>
    <x v="20"/>
    <x v="0"/>
    <x v="20"/>
    <x v="20"/>
  </r>
  <r>
    <x v="128"/>
    <x v="128"/>
    <x v="3"/>
    <x v="63"/>
    <x v="1"/>
    <x v="67"/>
    <x v="43"/>
    <x v="9"/>
    <x v="13"/>
    <x v="0"/>
    <x v="13"/>
    <x v="13"/>
  </r>
  <r>
    <x v="129"/>
    <x v="129"/>
    <x v="4"/>
    <x v="54"/>
    <x v="66"/>
    <x v="33"/>
    <x v="24"/>
    <x v="73"/>
    <x v="98"/>
    <x v="0"/>
    <x v="98"/>
    <x v="98"/>
  </r>
  <r>
    <x v="130"/>
    <x v="130"/>
    <x v="1"/>
    <x v="68"/>
    <x v="2"/>
    <x v="26"/>
    <x v="36"/>
    <x v="53"/>
    <x v="86"/>
    <x v="0"/>
    <x v="86"/>
    <x v="86"/>
  </r>
  <r>
    <x v="131"/>
    <x v="131"/>
    <x v="1"/>
    <x v="51"/>
    <x v="67"/>
    <x v="25"/>
    <x v="9"/>
    <x v="4"/>
    <x v="33"/>
    <x v="0"/>
    <x v="33"/>
    <x v="33"/>
  </r>
  <r>
    <x v="132"/>
    <x v="132"/>
    <x v="1"/>
    <x v="5"/>
    <x v="30"/>
    <x v="52"/>
    <x v="70"/>
    <x v="40"/>
    <x v="99"/>
    <x v="0"/>
    <x v="99"/>
    <x v="99"/>
  </r>
  <r>
    <x v="133"/>
    <x v="133"/>
    <x v="7"/>
    <x v="19"/>
    <x v="63"/>
    <x v="36"/>
    <x v="38"/>
    <x v="45"/>
    <x v="50"/>
    <x v="0"/>
    <x v="50"/>
    <x v="50"/>
  </r>
  <r>
    <x v="134"/>
    <x v="134"/>
    <x v="3"/>
    <x v="27"/>
    <x v="17"/>
    <x v="35"/>
    <x v="71"/>
    <x v="44"/>
    <x v="100"/>
    <x v="0"/>
    <x v="100"/>
    <x v="100"/>
  </r>
  <r>
    <x v="135"/>
    <x v="135"/>
    <x v="3"/>
    <x v="30"/>
    <x v="67"/>
    <x v="52"/>
    <x v="26"/>
    <x v="12"/>
    <x v="94"/>
    <x v="0"/>
    <x v="94"/>
    <x v="94"/>
  </r>
  <r>
    <x v="136"/>
    <x v="136"/>
    <x v="7"/>
    <x v="7"/>
    <x v="36"/>
    <x v="4"/>
    <x v="72"/>
    <x v="74"/>
    <x v="3"/>
    <x v="0"/>
    <x v="3"/>
    <x v="3"/>
  </r>
  <r>
    <x v="137"/>
    <x v="137"/>
    <x v="5"/>
    <x v="25"/>
    <x v="51"/>
    <x v="65"/>
    <x v="3"/>
    <x v="59"/>
    <x v="101"/>
    <x v="0"/>
    <x v="101"/>
    <x v="101"/>
  </r>
  <r>
    <x v="138"/>
    <x v="138"/>
    <x v="3"/>
    <x v="69"/>
    <x v="68"/>
    <x v="33"/>
    <x v="4"/>
    <x v="68"/>
    <x v="94"/>
    <x v="0"/>
    <x v="94"/>
    <x v="94"/>
  </r>
  <r>
    <x v="139"/>
    <x v="139"/>
    <x v="2"/>
    <x v="53"/>
    <x v="69"/>
    <x v="34"/>
    <x v="17"/>
    <x v="54"/>
    <x v="94"/>
    <x v="0"/>
    <x v="94"/>
    <x v="94"/>
  </r>
  <r>
    <x v="140"/>
    <x v="140"/>
    <x v="6"/>
    <x v="56"/>
    <x v="9"/>
    <x v="68"/>
    <x v="0"/>
    <x v="75"/>
    <x v="66"/>
    <x v="0"/>
    <x v="66"/>
    <x v="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indent="0" outline="1" outlineData="1" showDrill="1" multipleFieldFilters="0" rowHeaderCaption="Sales Executive" chartFormat="2">
  <location ref="J3:K8" firstHeaderRow="1" firstDataRow="1" firstDataCol="1"/>
  <pivotFields count="12">
    <pivotField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axis="axisRow" measureFilter="1" showAll="0">
      <items count="443">
        <item x="140"/>
        <item m="1" x="441"/>
        <item m="1" x="440"/>
        <item m="1" x="439"/>
        <item m="1" x="438"/>
        <item m="1" x="437"/>
        <item m="1" x="436"/>
        <item m="1" x="435"/>
        <item m="1" x="434"/>
        <item m="1" x="433"/>
        <item m="1" x="432"/>
        <item m="1" x="431"/>
        <item m="1" x="430"/>
        <item m="1" x="306"/>
        <item m="1" x="429"/>
        <item m="1" x="304"/>
        <item m="1" x="428"/>
        <item m="1" x="427"/>
        <item m="1" x="426"/>
        <item m="1" x="425"/>
        <item m="1" x="424"/>
        <item m="1" x="423"/>
        <item m="1" x="422"/>
        <item m="1" x="421"/>
        <item m="1" x="420"/>
        <item m="1" x="419"/>
        <item m="1" x="418"/>
        <item m="1" x="417"/>
        <item m="1" x="416"/>
        <item m="1" x="415"/>
        <item m="1" x="414"/>
        <item m="1" x="413"/>
        <item m="1" x="412"/>
        <item m="1" x="411"/>
        <item m="1" x="410"/>
        <item m="1" x="409"/>
        <item m="1" x="408"/>
        <item m="1" x="407"/>
        <item m="1" x="406"/>
        <item m="1" x="405"/>
        <item m="1" x="404"/>
        <item m="1" x="403"/>
        <item m="1" x="402"/>
        <item m="1" x="401"/>
        <item m="1" x="400"/>
        <item m="1" x="399"/>
        <item m="1" x="398"/>
        <item m="1" x="397"/>
        <item m="1" x="396"/>
        <item m="1" x="395"/>
        <item m="1" x="394"/>
        <item m="1" x="393"/>
        <item m="1" x="392"/>
        <item m="1" x="391"/>
        <item m="1" x="390"/>
        <item m="1" x="389"/>
        <item m="1" x="388"/>
        <item m="1" x="387"/>
        <item m="1" x="386"/>
        <item m="1" x="385"/>
        <item m="1" x="384"/>
        <item m="1" x="383"/>
        <item m="1" x="382"/>
        <item m="1" x="381"/>
        <item m="1" x="380"/>
        <item m="1" x="379"/>
        <item m="1" x="378"/>
        <item m="1" x="377"/>
        <item m="1" x="376"/>
        <item m="1" x="375"/>
        <item m="1" x="374"/>
        <item m="1" x="373"/>
        <item m="1" x="372"/>
        <item m="1" x="371"/>
        <item m="1" x="370"/>
        <item m="1" x="369"/>
        <item m="1" x="368"/>
        <item m="1" x="367"/>
        <item m="1" x="366"/>
        <item m="1" x="365"/>
        <item m="1" x="364"/>
        <item m="1" x="363"/>
        <item m="1" x="302"/>
        <item m="1" x="362"/>
        <item m="1" x="361"/>
        <item m="1" x="360"/>
        <item m="1" x="359"/>
        <item m="1" x="358"/>
        <item m="1" x="357"/>
        <item m="1" x="356"/>
        <item m="1" x="355"/>
        <item m="1" x="354"/>
        <item m="1" x="353"/>
        <item m="1" x="352"/>
        <item m="1" x="351"/>
        <item m="1" x="350"/>
        <item m="1" x="349"/>
        <item m="1" x="348"/>
        <item m="1" x="347"/>
        <item m="1" x="346"/>
        <item m="1" x="345"/>
        <item m="1" x="344"/>
        <item m="1" x="343"/>
        <item m="1" x="342"/>
        <item m="1" x="341"/>
        <item m="1" x="340"/>
        <item m="1" x="339"/>
        <item m="1" x="338"/>
        <item m="1" x="337"/>
        <item m="1" x="336"/>
        <item m="1" x="335"/>
        <item m="1" x="334"/>
        <item m="1" x="333"/>
        <item m="1" x="332"/>
        <item m="1" x="331"/>
        <item m="1" x="330"/>
        <item m="1" x="329"/>
        <item m="1" x="328"/>
        <item m="1" x="327"/>
        <item m="1" x="326"/>
        <item m="1" x="325"/>
        <item m="1" x="324"/>
        <item m="1" x="323"/>
        <item m="1" x="322"/>
        <item m="1" x="321"/>
        <item m="1" x="320"/>
        <item m="1" x="319"/>
        <item m="1" x="318"/>
        <item m="1" x="317"/>
        <item m="1" x="316"/>
        <item m="1" x="315"/>
        <item m="1" x="314"/>
        <item m="1" x="313"/>
        <item m="1" x="312"/>
        <item m="1" x="311"/>
        <item m="1" x="310"/>
        <item m="1" x="309"/>
        <item m="1" x="308"/>
        <item m="1" x="307"/>
        <item m="1" x="305"/>
        <item m="1" x="303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showAll="0">
      <items count="24">
        <item h="1" m="1" x="18"/>
        <item h="1" m="1" x="16"/>
        <item h="1" m="1" x="15"/>
        <item h="1" m="1" x="17"/>
        <item h="1" m="1" x="20"/>
        <item h="1" m="1" x="19"/>
        <item h="1" m="1" x="21"/>
        <item h="1" m="1" x="22"/>
        <item h="1" m="1" x="8"/>
        <item x="0"/>
        <item h="1" m="1" x="9"/>
        <item h="1" m="1" x="10"/>
        <item h="1" x="6"/>
        <item h="1" x="3"/>
        <item h="1" m="1" x="11"/>
        <item h="1" m="1" x="12"/>
        <item h="1" x="1"/>
        <item h="1" x="4"/>
        <item h="1" m="1" x="13"/>
        <item h="1" m="1" x="14"/>
        <item h="1" x="2"/>
        <item h="1" x="5"/>
        <item h="1" x="7"/>
        <item t="default"/>
      </items>
    </pivotField>
    <pivotField showAll="0">
      <items count="71">
        <item x="25"/>
        <item x="57"/>
        <item x="27"/>
        <item x="29"/>
        <item x="20"/>
        <item x="3"/>
        <item x="11"/>
        <item x="30"/>
        <item x="13"/>
        <item x="61"/>
        <item x="31"/>
        <item x="53"/>
        <item x="10"/>
        <item x="68"/>
        <item x="0"/>
        <item x="1"/>
        <item x="2"/>
        <item x="4"/>
        <item x="5"/>
        <item x="6"/>
        <item x="7"/>
        <item x="8"/>
        <item x="9"/>
        <item x="12"/>
        <item x="14"/>
        <item x="15"/>
        <item x="16"/>
        <item x="17"/>
        <item x="18"/>
        <item x="19"/>
        <item x="21"/>
        <item x="22"/>
        <item x="23"/>
        <item x="24"/>
        <item x="26"/>
        <item x="28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8"/>
        <item x="59"/>
        <item x="60"/>
        <item x="62"/>
        <item x="63"/>
        <item x="64"/>
        <item x="65"/>
        <item x="66"/>
        <item x="67"/>
        <item x="69"/>
        <item t="default"/>
      </items>
    </pivotField>
    <pivotField showAll="0">
      <items count="71">
        <item x="59"/>
        <item x="55"/>
        <item x="3"/>
        <item x="36"/>
        <item x="45"/>
        <item x="41"/>
        <item x="43"/>
        <item x="1"/>
        <item x="49"/>
        <item x="0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40"/>
        <item x="42"/>
        <item x="44"/>
        <item x="46"/>
        <item x="47"/>
        <item x="48"/>
        <item x="50"/>
        <item x="51"/>
        <item x="52"/>
        <item x="53"/>
        <item x="54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>
      <items count="70">
        <item x="10"/>
        <item x="25"/>
        <item x="33"/>
        <item x="39"/>
        <item x="17"/>
        <item x="57"/>
        <item x="15"/>
        <item x="64"/>
        <item x="58"/>
        <item x="65"/>
        <item x="12"/>
        <item x="0"/>
        <item x="1"/>
        <item x="2"/>
        <item x="3"/>
        <item x="4"/>
        <item x="5"/>
        <item x="6"/>
        <item x="7"/>
        <item x="8"/>
        <item x="9"/>
        <item x="11"/>
        <item x="13"/>
        <item x="14"/>
        <item x="16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9"/>
        <item x="60"/>
        <item x="61"/>
        <item x="62"/>
        <item x="63"/>
        <item x="66"/>
        <item x="67"/>
        <item x="68"/>
        <item t="default"/>
      </items>
    </pivotField>
    <pivotField showAll="0">
      <items count="74">
        <item x="19"/>
        <item x="28"/>
        <item x="32"/>
        <item x="39"/>
        <item x="31"/>
        <item x="40"/>
        <item x="61"/>
        <item x="15"/>
        <item x="24"/>
        <item x="14"/>
        <item x="60"/>
        <item x="6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5"/>
        <item x="26"/>
        <item x="27"/>
        <item x="29"/>
        <item x="30"/>
        <item x="33"/>
        <item x="34"/>
        <item x="35"/>
        <item x="36"/>
        <item x="37"/>
        <item x="38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2"/>
        <item x="63"/>
        <item x="64"/>
        <item x="65"/>
        <item x="66"/>
        <item x="68"/>
        <item x="69"/>
        <item x="70"/>
        <item x="71"/>
        <item x="72"/>
        <item t="default"/>
      </items>
    </pivotField>
    <pivotField showAll="0">
      <items count="77">
        <item x="33"/>
        <item x="34"/>
        <item x="65"/>
        <item x="69"/>
        <item x="44"/>
        <item x="48"/>
        <item x="56"/>
        <item x="38"/>
        <item x="12"/>
        <item x="26"/>
        <item x="5"/>
        <item x="61"/>
        <item x="0"/>
        <item x="1"/>
        <item x="2"/>
        <item x="3"/>
        <item x="4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5"/>
        <item x="36"/>
        <item x="37"/>
        <item x="39"/>
        <item x="40"/>
        <item x="41"/>
        <item x="42"/>
        <item x="43"/>
        <item x="45"/>
        <item x="46"/>
        <item x="47"/>
        <item x="49"/>
        <item x="50"/>
        <item x="51"/>
        <item x="52"/>
        <item x="53"/>
        <item x="54"/>
        <item x="55"/>
        <item x="57"/>
        <item x="58"/>
        <item x="59"/>
        <item x="60"/>
        <item x="62"/>
        <item x="63"/>
        <item x="64"/>
        <item x="66"/>
        <item x="67"/>
        <item x="68"/>
        <item x="70"/>
        <item x="71"/>
        <item x="72"/>
        <item x="73"/>
        <item x="74"/>
        <item x="75"/>
        <item t="default"/>
      </items>
    </pivotField>
    <pivotField showAll="0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showAll="0">
      <items count="2">
        <item x="0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dataField="1"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</pivotFields>
  <rowFields count="1">
    <field x="1"/>
  </rowFields>
  <rowItems count="5">
    <i>
      <x v="303"/>
    </i>
    <i>
      <x v="310"/>
    </i>
    <i>
      <x v="374"/>
    </i>
    <i>
      <x v="383"/>
    </i>
    <i>
      <x v="424"/>
    </i>
  </rowItems>
  <colItems count="1">
    <i/>
  </colItems>
  <dataFields count="1">
    <dataField name="Away From Target % " fld="11" baseField="1" baseItem="26" numFmtId="10"/>
  </dataFields>
  <formats count="20">
    <format dxfId="0">
      <pivotArea type="all" dataOnly="0" outline="0" fieldPosition="0"/>
    </format>
    <format dxfId="1">
      <pivotArea field="1" type="button" dataOnly="0" labelOnly="1" outline="0" fieldPosition="0"/>
    </format>
    <format dxfId="2">
      <pivotArea dataOnly="0" labelOnly="1" fieldPosition="0">
        <references count="1">
          <reference field="1" count="5">
            <x v="3"/>
            <x v="15"/>
            <x v="31"/>
            <x v="59"/>
            <x v="79"/>
          </reference>
        </references>
      </pivotArea>
    </format>
    <format dxfId="3">
      <pivotArea dataOnly="0" labelOnly="1" outline="0" fieldPosition="0"/>
    </format>
    <format dxfId="4">
      <pivotArea type="all" dataOnly="0" outline="0" fieldPosition="0"/>
    </format>
    <format dxfId="5">
      <pivotArea outline="0" collapsedLevelsAreSubtotals="1" fieldPosition="0"/>
    </format>
    <format dxfId="6">
      <pivotArea field="1" type="button" dataOnly="0" labelOnly="1" outline="0" fieldPosition="0"/>
    </format>
    <format dxfId="7">
      <pivotArea dataOnly="0" labelOnly="1" fieldPosition="0">
        <references count="1">
          <reference field="1" count="5">
            <x v="3"/>
            <x v="15"/>
            <x v="31"/>
            <x v="59"/>
            <x v="79"/>
          </reference>
        </references>
      </pivotArea>
    </format>
    <format dxfId="8">
      <pivotArea dataOnly="0" labelOnly="1" outline="0" fieldPosition="0"/>
    </format>
    <format dxfId="9">
      <pivotArea field="1" type="button" dataOnly="0" labelOnly="1" outline="0" fieldPosition="0"/>
    </format>
    <format dxfId="10">
      <pivotArea dataOnly="0" labelOnly="1" outline="0" fieldPosition="0"/>
    </format>
    <format dxfId="11">
      <pivotArea type="all" dataOnly="0" outline="0" fieldPosition="0"/>
    </format>
    <format dxfId="12">
      <pivotArea outline="0" collapsedLevelsAreSubtotals="1" fieldPosition="0"/>
    </format>
    <format dxfId="13">
      <pivotArea field="1" type="button" dataOnly="0" labelOnly="1" outline="0" fieldPosition="0"/>
    </format>
    <format dxfId="14">
      <pivotArea dataOnly="0" labelOnly="1" fieldPosition="0">
        <references count="1">
          <reference field="1" count="5">
            <x v="37"/>
            <x v="61"/>
            <x v="77"/>
            <x v="110"/>
            <x v="134"/>
          </reference>
        </references>
      </pivotArea>
    </format>
    <format dxfId="15">
      <pivotArea dataOnly="0" labelOnly="1" outline="0" fieldPosition="0"/>
    </format>
    <format dxfId="16">
      <pivotArea collapsedLevelsAreSubtotals="1" fieldPosition="0"/>
    </format>
    <format dxfId="17">
      <pivotArea type="all" dataOnly="0" outline="0" fieldPosition="0"/>
    </format>
    <format dxfId="18">
      <pivotArea type="all" dataOnly="0" outline="0" fieldPosition="0"/>
    </format>
    <format dxfId="19">
      <pivotArea collapsedLevelsAreSubtotals="1" fieldPosition="0"/>
    </format>
  </formats>
  <pivotTableStyleInfo name="PivotStylePreset6_Accent1" showRowHeaders="1" showColHeaders="1" showRowStripes="1" showLastColumn="1"/>
  <filters count="1">
    <filter evalOrder="-1" fld="1" iMeasureFld="0" id="2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indent="0" outline="1" outlineData="1" showDrill="1" multipleFieldFilters="0" rowHeaderCaption="Sales Executive" chartFormat="4">
  <location ref="G3:H8" firstHeaderRow="1" firstDataRow="1" firstDataCol="1"/>
  <pivotFields count="12">
    <pivotField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axis="axisRow" measureFilter="1" showAll="0">
      <items count="443">
        <item x="140"/>
        <item m="1" x="441"/>
        <item m="1" x="440"/>
        <item m="1" x="439"/>
        <item m="1" x="438"/>
        <item m="1" x="437"/>
        <item m="1" x="436"/>
        <item m="1" x="435"/>
        <item m="1" x="434"/>
        <item m="1" x="433"/>
        <item m="1" x="432"/>
        <item m="1" x="431"/>
        <item m="1" x="430"/>
        <item m="1" x="306"/>
        <item m="1" x="429"/>
        <item m="1" x="304"/>
        <item m="1" x="428"/>
        <item m="1" x="427"/>
        <item m="1" x="426"/>
        <item m="1" x="425"/>
        <item m="1" x="424"/>
        <item m="1" x="423"/>
        <item m="1" x="422"/>
        <item m="1" x="421"/>
        <item m="1" x="420"/>
        <item m="1" x="419"/>
        <item m="1" x="418"/>
        <item m="1" x="417"/>
        <item m="1" x="416"/>
        <item m="1" x="415"/>
        <item m="1" x="414"/>
        <item m="1" x="413"/>
        <item m="1" x="412"/>
        <item m="1" x="411"/>
        <item m="1" x="410"/>
        <item m="1" x="409"/>
        <item m="1" x="408"/>
        <item m="1" x="407"/>
        <item m="1" x="406"/>
        <item m="1" x="405"/>
        <item m="1" x="404"/>
        <item m="1" x="403"/>
        <item m="1" x="402"/>
        <item m="1" x="401"/>
        <item m="1" x="400"/>
        <item m="1" x="399"/>
        <item m="1" x="398"/>
        <item m="1" x="397"/>
        <item m="1" x="396"/>
        <item m="1" x="395"/>
        <item m="1" x="394"/>
        <item m="1" x="393"/>
        <item m="1" x="392"/>
        <item m="1" x="391"/>
        <item m="1" x="390"/>
        <item m="1" x="389"/>
        <item m="1" x="388"/>
        <item m="1" x="387"/>
        <item m="1" x="386"/>
        <item m="1" x="385"/>
        <item m="1" x="384"/>
        <item m="1" x="383"/>
        <item m="1" x="382"/>
        <item m="1" x="381"/>
        <item m="1" x="380"/>
        <item m="1" x="379"/>
        <item m="1" x="378"/>
        <item m="1" x="377"/>
        <item m="1" x="376"/>
        <item m="1" x="375"/>
        <item m="1" x="374"/>
        <item m="1" x="373"/>
        <item m="1" x="372"/>
        <item m="1" x="371"/>
        <item m="1" x="370"/>
        <item m="1" x="369"/>
        <item m="1" x="368"/>
        <item m="1" x="367"/>
        <item m="1" x="366"/>
        <item m="1" x="365"/>
        <item m="1" x="364"/>
        <item m="1" x="363"/>
        <item m="1" x="302"/>
        <item m="1" x="362"/>
        <item m="1" x="361"/>
        <item m="1" x="360"/>
        <item m="1" x="359"/>
        <item m="1" x="358"/>
        <item m="1" x="357"/>
        <item m="1" x="356"/>
        <item m="1" x="355"/>
        <item m="1" x="354"/>
        <item m="1" x="353"/>
        <item m="1" x="352"/>
        <item m="1" x="351"/>
        <item m="1" x="350"/>
        <item m="1" x="349"/>
        <item m="1" x="348"/>
        <item m="1" x="347"/>
        <item m="1" x="346"/>
        <item m="1" x="345"/>
        <item m="1" x="344"/>
        <item m="1" x="343"/>
        <item m="1" x="342"/>
        <item m="1" x="341"/>
        <item m="1" x="340"/>
        <item m="1" x="339"/>
        <item m="1" x="338"/>
        <item m="1" x="337"/>
        <item m="1" x="336"/>
        <item m="1" x="335"/>
        <item m="1" x="334"/>
        <item m="1" x="333"/>
        <item m="1" x="332"/>
        <item m="1" x="331"/>
        <item m="1" x="330"/>
        <item m="1" x="329"/>
        <item m="1" x="328"/>
        <item m="1" x="327"/>
        <item m="1" x="326"/>
        <item m="1" x="325"/>
        <item m="1" x="324"/>
        <item m="1" x="323"/>
        <item m="1" x="322"/>
        <item m="1" x="321"/>
        <item m="1" x="320"/>
        <item m="1" x="319"/>
        <item m="1" x="318"/>
        <item m="1" x="317"/>
        <item m="1" x="316"/>
        <item m="1" x="315"/>
        <item m="1" x="314"/>
        <item m="1" x="313"/>
        <item m="1" x="312"/>
        <item m="1" x="311"/>
        <item m="1" x="310"/>
        <item m="1" x="309"/>
        <item m="1" x="308"/>
        <item m="1" x="307"/>
        <item m="1" x="305"/>
        <item m="1" x="303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showAll="0">
      <items count="24">
        <item h="1" m="1" x="18"/>
        <item h="1" m="1" x="16"/>
        <item h="1" m="1" x="15"/>
        <item h="1" m="1" x="17"/>
        <item h="1" m="1" x="20"/>
        <item h="1" m="1" x="19"/>
        <item h="1" m="1" x="21"/>
        <item h="1" m="1" x="22"/>
        <item h="1" m="1" x="8"/>
        <item x="0"/>
        <item h="1" m="1" x="9"/>
        <item h="1" m="1" x="10"/>
        <item h="1" x="6"/>
        <item h="1" x="3"/>
        <item h="1" m="1" x="11"/>
        <item h="1" m="1" x="12"/>
        <item h="1" x="1"/>
        <item h="1" x="4"/>
        <item h="1" m="1" x="13"/>
        <item h="1" m="1" x="14"/>
        <item h="1" x="2"/>
        <item h="1" x="5"/>
        <item h="1" x="7"/>
        <item t="default"/>
      </items>
    </pivotField>
    <pivotField showAll="0">
      <items count="71">
        <item x="25"/>
        <item x="57"/>
        <item x="27"/>
        <item x="29"/>
        <item x="20"/>
        <item x="3"/>
        <item x="11"/>
        <item x="30"/>
        <item x="13"/>
        <item x="61"/>
        <item x="31"/>
        <item x="53"/>
        <item x="10"/>
        <item x="68"/>
        <item x="0"/>
        <item x="1"/>
        <item x="2"/>
        <item x="4"/>
        <item x="5"/>
        <item x="6"/>
        <item x="7"/>
        <item x="8"/>
        <item x="9"/>
        <item x="12"/>
        <item x="14"/>
        <item x="15"/>
        <item x="16"/>
        <item x="17"/>
        <item x="18"/>
        <item x="19"/>
        <item x="21"/>
        <item x="22"/>
        <item x="23"/>
        <item x="24"/>
        <item x="26"/>
        <item x="28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8"/>
        <item x="59"/>
        <item x="60"/>
        <item x="62"/>
        <item x="63"/>
        <item x="64"/>
        <item x="65"/>
        <item x="66"/>
        <item x="67"/>
        <item x="69"/>
        <item t="default"/>
      </items>
    </pivotField>
    <pivotField showAll="0">
      <items count="71">
        <item x="59"/>
        <item x="55"/>
        <item x="3"/>
        <item x="36"/>
        <item x="45"/>
        <item x="41"/>
        <item x="43"/>
        <item x="1"/>
        <item x="49"/>
        <item x="0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40"/>
        <item x="42"/>
        <item x="44"/>
        <item x="46"/>
        <item x="47"/>
        <item x="48"/>
        <item x="50"/>
        <item x="51"/>
        <item x="52"/>
        <item x="53"/>
        <item x="54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>
      <items count="70">
        <item x="10"/>
        <item x="25"/>
        <item x="33"/>
        <item x="39"/>
        <item x="17"/>
        <item x="57"/>
        <item x="15"/>
        <item x="64"/>
        <item x="58"/>
        <item x="65"/>
        <item x="12"/>
        <item x="0"/>
        <item x="1"/>
        <item x="2"/>
        <item x="3"/>
        <item x="4"/>
        <item x="5"/>
        <item x="6"/>
        <item x="7"/>
        <item x="8"/>
        <item x="9"/>
        <item x="11"/>
        <item x="13"/>
        <item x="14"/>
        <item x="16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9"/>
        <item x="60"/>
        <item x="61"/>
        <item x="62"/>
        <item x="63"/>
        <item x="66"/>
        <item x="67"/>
        <item x="68"/>
        <item t="default"/>
      </items>
    </pivotField>
    <pivotField showAll="0">
      <items count="74">
        <item x="19"/>
        <item x="28"/>
        <item x="32"/>
        <item x="39"/>
        <item x="31"/>
        <item x="40"/>
        <item x="61"/>
        <item x="15"/>
        <item x="24"/>
        <item x="14"/>
        <item x="60"/>
        <item x="6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5"/>
        <item x="26"/>
        <item x="27"/>
        <item x="29"/>
        <item x="30"/>
        <item x="33"/>
        <item x="34"/>
        <item x="35"/>
        <item x="36"/>
        <item x="37"/>
        <item x="38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2"/>
        <item x="63"/>
        <item x="64"/>
        <item x="65"/>
        <item x="66"/>
        <item x="68"/>
        <item x="69"/>
        <item x="70"/>
        <item x="71"/>
        <item x="72"/>
        <item t="default"/>
      </items>
    </pivotField>
    <pivotField showAll="0">
      <items count="77">
        <item x="33"/>
        <item x="34"/>
        <item x="65"/>
        <item x="69"/>
        <item x="44"/>
        <item x="48"/>
        <item x="56"/>
        <item x="38"/>
        <item x="12"/>
        <item x="26"/>
        <item x="5"/>
        <item x="61"/>
        <item x="0"/>
        <item x="1"/>
        <item x="2"/>
        <item x="3"/>
        <item x="4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5"/>
        <item x="36"/>
        <item x="37"/>
        <item x="39"/>
        <item x="40"/>
        <item x="41"/>
        <item x="42"/>
        <item x="43"/>
        <item x="45"/>
        <item x="46"/>
        <item x="47"/>
        <item x="49"/>
        <item x="50"/>
        <item x="51"/>
        <item x="52"/>
        <item x="53"/>
        <item x="54"/>
        <item x="55"/>
        <item x="57"/>
        <item x="58"/>
        <item x="59"/>
        <item x="60"/>
        <item x="62"/>
        <item x="63"/>
        <item x="64"/>
        <item x="66"/>
        <item x="67"/>
        <item x="68"/>
        <item x="70"/>
        <item x="71"/>
        <item x="72"/>
        <item x="73"/>
        <item x="74"/>
        <item x="75"/>
        <item t="default"/>
      </items>
    </pivotField>
    <pivotField showAll="0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showAll="0">
      <items count="2">
        <item x="0"/>
        <item t="default"/>
      </items>
    </pivotField>
    <pivotField dataField="1"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</pivotFields>
  <rowFields count="1">
    <field x="1"/>
  </rowFields>
  <rowItems count="5">
    <i>
      <x v="302"/>
    </i>
    <i>
      <x v="313"/>
    </i>
    <i>
      <x v="328"/>
    </i>
    <i>
      <x v="350"/>
    </i>
    <i>
      <x v="352"/>
    </i>
  </rowItems>
  <colItems count="1">
    <i/>
  </colItems>
  <dataFields count="1">
    <dataField name="Target Hit % " fld="10" baseField="0" baseItem="0" numFmtId="10"/>
  </dataFields>
  <formats count="21">
    <format dxfId="20">
      <pivotArea type="all" dataOnly="0" outline="0" fieldPosition="0"/>
    </format>
    <format dxfId="21">
      <pivotArea field="1" type="button" dataOnly="0" labelOnly="1" outline="0" fieldPosition="0"/>
    </format>
    <format dxfId="22">
      <pivotArea dataOnly="0" labelOnly="1" fieldPosition="0">
        <references count="1">
          <reference field="1" count="5">
            <x v="3"/>
            <x v="15"/>
            <x v="31"/>
            <x v="59"/>
            <x v="79"/>
          </reference>
        </references>
      </pivotArea>
    </format>
    <format dxfId="23">
      <pivotArea dataOnly="0" labelOnly="1" outline="0" fieldPosition="0"/>
    </format>
    <format dxfId="24">
      <pivotArea type="all" dataOnly="0" outline="0" fieldPosition="0"/>
    </format>
    <format dxfId="25">
      <pivotArea outline="0" collapsedLevelsAreSubtotals="1" fieldPosition="0"/>
    </format>
    <format dxfId="26">
      <pivotArea field="1" type="button" dataOnly="0" labelOnly="1" outline="0" fieldPosition="0"/>
    </format>
    <format dxfId="27">
      <pivotArea dataOnly="0" labelOnly="1" fieldPosition="0">
        <references count="1">
          <reference field="1" count="5">
            <x v="3"/>
            <x v="15"/>
            <x v="31"/>
            <x v="59"/>
            <x v="79"/>
          </reference>
        </references>
      </pivotArea>
    </format>
    <format dxfId="28">
      <pivotArea dataOnly="0" labelOnly="1" outline="0" fieldPosition="0"/>
    </format>
    <format dxfId="29">
      <pivotArea field="1" type="button" dataOnly="0" labelOnly="1" outline="0" fieldPosition="0"/>
    </format>
    <format dxfId="30">
      <pivotArea dataOnly="0" labelOnly="1" outline="0" fieldPosition="0"/>
    </format>
    <format dxfId="31">
      <pivotArea type="all" dataOnly="0" outline="0" fieldPosition="0"/>
    </format>
    <format dxfId="32">
      <pivotArea outline="0" collapsedLevelsAreSubtotals="1" fieldPosition="0"/>
    </format>
    <format dxfId="33">
      <pivotArea field="1" type="button" dataOnly="0" labelOnly="1" outline="0" fieldPosition="0"/>
    </format>
    <format dxfId="34">
      <pivotArea dataOnly="0" labelOnly="1" fieldPosition="0">
        <references count="1">
          <reference field="1" count="5">
            <x v="3"/>
            <x v="21"/>
            <x v="53"/>
            <x v="94"/>
            <x v="102"/>
          </reference>
        </references>
      </pivotArea>
    </format>
    <format dxfId="35">
      <pivotArea dataOnly="0" labelOnly="1" outline="0" fieldPosition="0"/>
    </format>
    <format dxfId="36">
      <pivotArea collapsedLevelsAreSubtotals="1" fieldPosition="0"/>
    </format>
    <format dxfId="37">
      <pivotArea collapsedLevelsAreSubtotals="1" fieldPosition="0"/>
    </format>
    <format dxfId="38">
      <pivotArea type="all" dataOnly="0" outline="0" fieldPosition="0"/>
    </format>
    <format dxfId="39">
      <pivotArea type="all" dataOnly="0" outline="0" fieldPosition="0"/>
    </format>
    <format dxfId="40">
      <pivotArea collapsedLevelsAreSubtotals="1" fieldPosition="0"/>
    </format>
  </formats>
  <pivotTableStyleInfo name="PivotStylePreset6_Accent5" showRowHeaders="1" showColHeaders="1" showRowStripes="1" showLastColumn="1"/>
  <filters count="1">
    <filter evalOrder="-1" fld="1" iMeasureFld="0" id="2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indent="0" outline="1" outlineData="1" showDrill="1" multipleFieldFilters="0" rowHeaderCaption="Sales Executive" chartFormat="2">
  <location ref="D3:E8" firstHeaderRow="1" firstDataRow="1" firstDataCol="1"/>
  <pivotFields count="12">
    <pivotField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axis="axisRow" measureFilter="1" showAll="0">
      <items count="443">
        <item x="140"/>
        <item m="1" x="441"/>
        <item m="1" x="440"/>
        <item m="1" x="439"/>
        <item m="1" x="438"/>
        <item m="1" x="437"/>
        <item m="1" x="436"/>
        <item m="1" x="435"/>
        <item m="1" x="434"/>
        <item m="1" x="433"/>
        <item m="1" x="432"/>
        <item m="1" x="431"/>
        <item m="1" x="430"/>
        <item m="1" x="306"/>
        <item m="1" x="429"/>
        <item m="1" x="304"/>
        <item m="1" x="428"/>
        <item m="1" x="427"/>
        <item m="1" x="426"/>
        <item m="1" x="425"/>
        <item m="1" x="424"/>
        <item m="1" x="423"/>
        <item m="1" x="422"/>
        <item m="1" x="421"/>
        <item m="1" x="420"/>
        <item m="1" x="419"/>
        <item m="1" x="418"/>
        <item m="1" x="417"/>
        <item m="1" x="416"/>
        <item m="1" x="415"/>
        <item m="1" x="414"/>
        <item m="1" x="413"/>
        <item m="1" x="412"/>
        <item m="1" x="411"/>
        <item m="1" x="410"/>
        <item m="1" x="409"/>
        <item m="1" x="408"/>
        <item m="1" x="407"/>
        <item m="1" x="406"/>
        <item m="1" x="405"/>
        <item m="1" x="404"/>
        <item m="1" x="403"/>
        <item m="1" x="402"/>
        <item m="1" x="401"/>
        <item m="1" x="400"/>
        <item m="1" x="399"/>
        <item m="1" x="398"/>
        <item m="1" x="397"/>
        <item m="1" x="396"/>
        <item m="1" x="395"/>
        <item m="1" x="394"/>
        <item m="1" x="393"/>
        <item m="1" x="392"/>
        <item m="1" x="391"/>
        <item m="1" x="390"/>
        <item m="1" x="389"/>
        <item m="1" x="388"/>
        <item m="1" x="387"/>
        <item m="1" x="386"/>
        <item m="1" x="385"/>
        <item m="1" x="384"/>
        <item m="1" x="383"/>
        <item m="1" x="382"/>
        <item m="1" x="381"/>
        <item m="1" x="380"/>
        <item m="1" x="379"/>
        <item m="1" x="378"/>
        <item m="1" x="377"/>
        <item m="1" x="376"/>
        <item m="1" x="375"/>
        <item m="1" x="374"/>
        <item m="1" x="373"/>
        <item m="1" x="372"/>
        <item m="1" x="371"/>
        <item m="1" x="370"/>
        <item m="1" x="369"/>
        <item m="1" x="368"/>
        <item m="1" x="367"/>
        <item m="1" x="366"/>
        <item m="1" x="365"/>
        <item m="1" x="364"/>
        <item m="1" x="363"/>
        <item m="1" x="302"/>
        <item m="1" x="362"/>
        <item m="1" x="361"/>
        <item m="1" x="360"/>
        <item m="1" x="359"/>
        <item m="1" x="358"/>
        <item m="1" x="357"/>
        <item m="1" x="356"/>
        <item m="1" x="355"/>
        <item m="1" x="354"/>
        <item m="1" x="353"/>
        <item m="1" x="352"/>
        <item m="1" x="351"/>
        <item m="1" x="350"/>
        <item m="1" x="349"/>
        <item m="1" x="348"/>
        <item m="1" x="347"/>
        <item m="1" x="346"/>
        <item m="1" x="345"/>
        <item m="1" x="344"/>
        <item m="1" x="343"/>
        <item m="1" x="342"/>
        <item m="1" x="341"/>
        <item m="1" x="340"/>
        <item m="1" x="339"/>
        <item m="1" x="338"/>
        <item m="1" x="337"/>
        <item m="1" x="336"/>
        <item m="1" x="335"/>
        <item m="1" x="334"/>
        <item m="1" x="333"/>
        <item m="1" x="332"/>
        <item m="1" x="331"/>
        <item m="1" x="330"/>
        <item m="1" x="329"/>
        <item m="1" x="328"/>
        <item m="1" x="327"/>
        <item m="1" x="326"/>
        <item m="1" x="325"/>
        <item m="1" x="324"/>
        <item m="1" x="323"/>
        <item m="1" x="322"/>
        <item m="1" x="321"/>
        <item m="1" x="320"/>
        <item m="1" x="319"/>
        <item m="1" x="318"/>
        <item m="1" x="317"/>
        <item m="1" x="316"/>
        <item m="1" x="315"/>
        <item m="1" x="314"/>
        <item m="1" x="313"/>
        <item m="1" x="312"/>
        <item m="1" x="311"/>
        <item m="1" x="310"/>
        <item m="1" x="309"/>
        <item m="1" x="308"/>
        <item m="1" x="307"/>
        <item m="1" x="305"/>
        <item m="1" x="303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showAll="0">
      <items count="24">
        <item h="1" m="1" x="18"/>
        <item h="1" m="1" x="16"/>
        <item h="1" m="1" x="15"/>
        <item h="1" m="1" x="17"/>
        <item h="1" m="1" x="20"/>
        <item h="1" m="1" x="19"/>
        <item h="1" m="1" x="21"/>
        <item h="1" m="1" x="22"/>
        <item h="1" m="1" x="8"/>
        <item x="0"/>
        <item h="1" m="1" x="9"/>
        <item h="1" m="1" x="10"/>
        <item h="1" x="6"/>
        <item h="1" x="3"/>
        <item h="1" m="1" x="11"/>
        <item h="1" m="1" x="12"/>
        <item h="1" x="1"/>
        <item h="1" x="4"/>
        <item h="1" m="1" x="13"/>
        <item h="1" m="1" x="14"/>
        <item h="1" x="2"/>
        <item h="1" x="5"/>
        <item h="1" x="7"/>
        <item t="default"/>
      </items>
    </pivotField>
    <pivotField showAll="0">
      <items count="71">
        <item x="25"/>
        <item x="57"/>
        <item x="27"/>
        <item x="29"/>
        <item x="20"/>
        <item x="3"/>
        <item x="11"/>
        <item x="30"/>
        <item x="13"/>
        <item x="61"/>
        <item x="31"/>
        <item x="53"/>
        <item x="10"/>
        <item x="68"/>
        <item x="0"/>
        <item x="1"/>
        <item x="2"/>
        <item x="4"/>
        <item x="5"/>
        <item x="6"/>
        <item x="7"/>
        <item x="8"/>
        <item x="9"/>
        <item x="12"/>
        <item x="14"/>
        <item x="15"/>
        <item x="16"/>
        <item x="17"/>
        <item x="18"/>
        <item x="19"/>
        <item x="21"/>
        <item x="22"/>
        <item x="23"/>
        <item x="24"/>
        <item x="26"/>
        <item x="28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8"/>
        <item x="59"/>
        <item x="60"/>
        <item x="62"/>
        <item x="63"/>
        <item x="64"/>
        <item x="65"/>
        <item x="66"/>
        <item x="67"/>
        <item x="69"/>
        <item t="default"/>
      </items>
    </pivotField>
    <pivotField showAll="0">
      <items count="71">
        <item x="59"/>
        <item x="55"/>
        <item x="3"/>
        <item x="36"/>
        <item x="45"/>
        <item x="41"/>
        <item x="43"/>
        <item x="1"/>
        <item x="49"/>
        <item x="0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40"/>
        <item x="42"/>
        <item x="44"/>
        <item x="46"/>
        <item x="47"/>
        <item x="48"/>
        <item x="50"/>
        <item x="51"/>
        <item x="52"/>
        <item x="53"/>
        <item x="54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>
      <items count="70">
        <item x="10"/>
        <item x="25"/>
        <item x="33"/>
        <item x="39"/>
        <item x="17"/>
        <item x="57"/>
        <item x="15"/>
        <item x="64"/>
        <item x="58"/>
        <item x="65"/>
        <item x="12"/>
        <item x="0"/>
        <item x="1"/>
        <item x="2"/>
        <item x="3"/>
        <item x="4"/>
        <item x="5"/>
        <item x="6"/>
        <item x="7"/>
        <item x="8"/>
        <item x="9"/>
        <item x="11"/>
        <item x="13"/>
        <item x="14"/>
        <item x="16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9"/>
        <item x="60"/>
        <item x="61"/>
        <item x="62"/>
        <item x="63"/>
        <item x="66"/>
        <item x="67"/>
        <item x="68"/>
        <item t="default"/>
      </items>
    </pivotField>
    <pivotField showAll="0">
      <items count="74">
        <item x="19"/>
        <item x="28"/>
        <item x="32"/>
        <item x="39"/>
        <item x="31"/>
        <item x="40"/>
        <item x="61"/>
        <item x="15"/>
        <item x="24"/>
        <item x="14"/>
        <item x="60"/>
        <item x="6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5"/>
        <item x="26"/>
        <item x="27"/>
        <item x="29"/>
        <item x="30"/>
        <item x="33"/>
        <item x="34"/>
        <item x="35"/>
        <item x="36"/>
        <item x="37"/>
        <item x="38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2"/>
        <item x="63"/>
        <item x="64"/>
        <item x="65"/>
        <item x="66"/>
        <item x="68"/>
        <item x="69"/>
        <item x="70"/>
        <item x="71"/>
        <item x="72"/>
        <item t="default"/>
      </items>
    </pivotField>
    <pivotField showAll="0">
      <items count="77">
        <item x="33"/>
        <item x="34"/>
        <item x="65"/>
        <item x="69"/>
        <item x="44"/>
        <item x="48"/>
        <item x="56"/>
        <item x="38"/>
        <item x="12"/>
        <item x="26"/>
        <item x="5"/>
        <item x="61"/>
        <item x="0"/>
        <item x="1"/>
        <item x="2"/>
        <item x="3"/>
        <item x="4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5"/>
        <item x="36"/>
        <item x="37"/>
        <item x="39"/>
        <item x="40"/>
        <item x="41"/>
        <item x="42"/>
        <item x="43"/>
        <item x="45"/>
        <item x="46"/>
        <item x="47"/>
        <item x="49"/>
        <item x="50"/>
        <item x="51"/>
        <item x="52"/>
        <item x="53"/>
        <item x="54"/>
        <item x="55"/>
        <item x="57"/>
        <item x="58"/>
        <item x="59"/>
        <item x="60"/>
        <item x="62"/>
        <item x="63"/>
        <item x="64"/>
        <item x="66"/>
        <item x="67"/>
        <item x="68"/>
        <item x="70"/>
        <item x="71"/>
        <item x="72"/>
        <item x="73"/>
        <item x="74"/>
        <item x="75"/>
        <item t="default"/>
      </items>
    </pivotField>
    <pivotField dataField="1" showAll="0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showAll="0">
      <items count="2">
        <item x="0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</pivotFields>
  <rowFields count="1">
    <field x="1"/>
  </rowFields>
  <rowItems count="5">
    <i>
      <x v="303"/>
    </i>
    <i>
      <x v="310"/>
    </i>
    <i>
      <x v="374"/>
    </i>
    <i>
      <x v="383"/>
    </i>
    <i>
      <x v="424"/>
    </i>
  </rowItems>
  <colItems count="1">
    <i/>
  </colItems>
  <dataFields count="1">
    <dataField name="Total Sales (Bottom)" fld="8" baseField="1" baseItem="26"/>
  </dataFields>
  <formats count="9">
    <format dxfId="41">
      <pivotArea field="1" type="button" dataOnly="0" labelOnly="1" outline="0" fieldPosition="0"/>
    </format>
    <format dxfId="42">
      <pivotArea dataOnly="0" labelOnly="1" outline="0" fieldPosition="0"/>
    </format>
    <format dxfId="43">
      <pivotArea type="all" dataOnly="0" outline="0" fieldPosition="0"/>
    </format>
    <format dxfId="44">
      <pivotArea outline="0" collapsedLevelsAreSubtotals="1" fieldPosition="0"/>
    </format>
    <format dxfId="45">
      <pivotArea field="1" type="button" dataOnly="0" labelOnly="1" outline="0" fieldPosition="0"/>
    </format>
    <format dxfId="46">
      <pivotArea dataOnly="0" labelOnly="1" fieldPosition="0">
        <references count="1">
          <reference field="1" count="5">
            <x v="37"/>
            <x v="61"/>
            <x v="77"/>
            <x v="110"/>
            <x v="134"/>
          </reference>
        </references>
      </pivotArea>
    </format>
    <format dxfId="47">
      <pivotArea dataOnly="0" labelOnly="1" outline="0" fieldPosition="0"/>
    </format>
    <format dxfId="48">
      <pivotArea type="all" dataOnly="0" outline="0" fieldPosition="0"/>
    </format>
    <format dxfId="49">
      <pivotArea type="all" dataOnly="0" outline="0" fieldPosition="0"/>
    </format>
  </formats>
  <pivotTableStyleInfo name="PivotStylePreset6_Accent1" showRowHeaders="1" showColHeaders="1" showRowStripes="1" showLastColumn="1"/>
  <filters count="1">
    <filter evalOrder="-1" fld="1" iMeasureFld="0" id="2" type="count">
      <autoFilter ref="A1">
        <filterColumn colId="0">
          <top10 top="0"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indent="0" outline="1" outlineData="1" showDrill="1" multipleFieldFilters="0" rowHeaderCaption="Sales Executive" chartFormat="4">
  <location ref="A3:B8" firstHeaderRow="1" firstDataRow="1" firstDataCol="1"/>
  <pivotFields count="12">
    <pivotField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axis="axisRow" measureFilter="1" showAll="0">
      <items count="443">
        <item x="140"/>
        <item m="1" x="441"/>
        <item m="1" x="440"/>
        <item m="1" x="439"/>
        <item m="1" x="438"/>
        <item m="1" x="437"/>
        <item m="1" x="436"/>
        <item m="1" x="435"/>
        <item m="1" x="434"/>
        <item m="1" x="433"/>
        <item m="1" x="432"/>
        <item m="1" x="431"/>
        <item m="1" x="430"/>
        <item m="1" x="306"/>
        <item m="1" x="429"/>
        <item m="1" x="304"/>
        <item m="1" x="428"/>
        <item m="1" x="427"/>
        <item m="1" x="426"/>
        <item m="1" x="425"/>
        <item m="1" x="424"/>
        <item m="1" x="423"/>
        <item m="1" x="422"/>
        <item m="1" x="421"/>
        <item m="1" x="420"/>
        <item m="1" x="419"/>
        <item m="1" x="418"/>
        <item m="1" x="417"/>
        <item m="1" x="416"/>
        <item m="1" x="415"/>
        <item m="1" x="414"/>
        <item m="1" x="413"/>
        <item m="1" x="412"/>
        <item m="1" x="411"/>
        <item m="1" x="410"/>
        <item m="1" x="409"/>
        <item m="1" x="408"/>
        <item m="1" x="407"/>
        <item m="1" x="406"/>
        <item m="1" x="405"/>
        <item m="1" x="404"/>
        <item m="1" x="403"/>
        <item m="1" x="402"/>
        <item m="1" x="401"/>
        <item m="1" x="400"/>
        <item m="1" x="399"/>
        <item m="1" x="398"/>
        <item m="1" x="397"/>
        <item m="1" x="396"/>
        <item m="1" x="395"/>
        <item m="1" x="394"/>
        <item m="1" x="393"/>
        <item m="1" x="392"/>
        <item m="1" x="391"/>
        <item m="1" x="390"/>
        <item m="1" x="389"/>
        <item m="1" x="388"/>
        <item m="1" x="387"/>
        <item m="1" x="386"/>
        <item m="1" x="385"/>
        <item m="1" x="384"/>
        <item m="1" x="383"/>
        <item m="1" x="382"/>
        <item m="1" x="381"/>
        <item m="1" x="380"/>
        <item m="1" x="379"/>
        <item m="1" x="378"/>
        <item m="1" x="377"/>
        <item m="1" x="376"/>
        <item m="1" x="375"/>
        <item m="1" x="374"/>
        <item m="1" x="373"/>
        <item m="1" x="372"/>
        <item m="1" x="371"/>
        <item m="1" x="370"/>
        <item m="1" x="369"/>
        <item m="1" x="368"/>
        <item m="1" x="367"/>
        <item m="1" x="366"/>
        <item m="1" x="365"/>
        <item m="1" x="364"/>
        <item m="1" x="363"/>
        <item m="1" x="302"/>
        <item m="1" x="362"/>
        <item m="1" x="361"/>
        <item m="1" x="360"/>
        <item m="1" x="359"/>
        <item m="1" x="358"/>
        <item m="1" x="357"/>
        <item m="1" x="356"/>
        <item m="1" x="355"/>
        <item m="1" x="354"/>
        <item m="1" x="353"/>
        <item m="1" x="352"/>
        <item m="1" x="351"/>
        <item m="1" x="350"/>
        <item m="1" x="349"/>
        <item m="1" x="348"/>
        <item m="1" x="347"/>
        <item m="1" x="346"/>
        <item m="1" x="345"/>
        <item m="1" x="344"/>
        <item m="1" x="343"/>
        <item m="1" x="342"/>
        <item m="1" x="341"/>
        <item m="1" x="340"/>
        <item m="1" x="339"/>
        <item m="1" x="338"/>
        <item m="1" x="337"/>
        <item m="1" x="336"/>
        <item m="1" x="335"/>
        <item m="1" x="334"/>
        <item m="1" x="333"/>
        <item m="1" x="332"/>
        <item m="1" x="331"/>
        <item m="1" x="330"/>
        <item m="1" x="329"/>
        <item m="1" x="328"/>
        <item m="1" x="327"/>
        <item m="1" x="326"/>
        <item m="1" x="325"/>
        <item m="1" x="324"/>
        <item m="1" x="323"/>
        <item m="1" x="322"/>
        <item m="1" x="321"/>
        <item m="1" x="320"/>
        <item m="1" x="319"/>
        <item m="1" x="318"/>
        <item m="1" x="317"/>
        <item m="1" x="316"/>
        <item m="1" x="315"/>
        <item m="1" x="314"/>
        <item m="1" x="313"/>
        <item m="1" x="312"/>
        <item m="1" x="311"/>
        <item m="1" x="310"/>
        <item m="1" x="309"/>
        <item m="1" x="308"/>
        <item m="1" x="307"/>
        <item m="1" x="305"/>
        <item m="1" x="303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showAll="0">
      <items count="24">
        <item h="1" m="1" x="18"/>
        <item h="1" m="1" x="16"/>
        <item h="1" m="1" x="15"/>
        <item h="1" m="1" x="17"/>
        <item h="1" m="1" x="20"/>
        <item h="1" m="1" x="19"/>
        <item h="1" m="1" x="21"/>
        <item h="1" m="1" x="22"/>
        <item h="1" m="1" x="8"/>
        <item x="0"/>
        <item h="1" m="1" x="9"/>
        <item h="1" m="1" x="10"/>
        <item h="1" x="6"/>
        <item h="1" x="3"/>
        <item h="1" m="1" x="11"/>
        <item h="1" m="1" x="12"/>
        <item h="1" x="1"/>
        <item h="1" x="4"/>
        <item h="1" m="1" x="13"/>
        <item h="1" m="1" x="14"/>
        <item h="1" x="2"/>
        <item h="1" x="5"/>
        <item h="1" x="7"/>
        <item t="default"/>
      </items>
    </pivotField>
    <pivotField showAll="0">
      <items count="71">
        <item x="25"/>
        <item x="57"/>
        <item x="27"/>
        <item x="29"/>
        <item x="20"/>
        <item x="3"/>
        <item x="11"/>
        <item x="30"/>
        <item x="13"/>
        <item x="61"/>
        <item x="31"/>
        <item x="53"/>
        <item x="10"/>
        <item x="68"/>
        <item x="0"/>
        <item x="1"/>
        <item x="2"/>
        <item x="4"/>
        <item x="5"/>
        <item x="6"/>
        <item x="7"/>
        <item x="8"/>
        <item x="9"/>
        <item x="12"/>
        <item x="14"/>
        <item x="15"/>
        <item x="16"/>
        <item x="17"/>
        <item x="18"/>
        <item x="19"/>
        <item x="21"/>
        <item x="22"/>
        <item x="23"/>
        <item x="24"/>
        <item x="26"/>
        <item x="28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8"/>
        <item x="59"/>
        <item x="60"/>
        <item x="62"/>
        <item x="63"/>
        <item x="64"/>
        <item x="65"/>
        <item x="66"/>
        <item x="67"/>
        <item x="69"/>
        <item t="default"/>
      </items>
    </pivotField>
    <pivotField showAll="0">
      <items count="71">
        <item x="59"/>
        <item x="55"/>
        <item x="3"/>
        <item x="36"/>
        <item x="45"/>
        <item x="41"/>
        <item x="43"/>
        <item x="1"/>
        <item x="49"/>
        <item x="0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40"/>
        <item x="42"/>
        <item x="44"/>
        <item x="46"/>
        <item x="47"/>
        <item x="48"/>
        <item x="50"/>
        <item x="51"/>
        <item x="52"/>
        <item x="53"/>
        <item x="54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>
      <items count="70">
        <item x="10"/>
        <item x="25"/>
        <item x="33"/>
        <item x="39"/>
        <item x="17"/>
        <item x="57"/>
        <item x="15"/>
        <item x="64"/>
        <item x="58"/>
        <item x="65"/>
        <item x="12"/>
        <item x="0"/>
        <item x="1"/>
        <item x="2"/>
        <item x="3"/>
        <item x="4"/>
        <item x="5"/>
        <item x="6"/>
        <item x="7"/>
        <item x="8"/>
        <item x="9"/>
        <item x="11"/>
        <item x="13"/>
        <item x="14"/>
        <item x="16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9"/>
        <item x="60"/>
        <item x="61"/>
        <item x="62"/>
        <item x="63"/>
        <item x="66"/>
        <item x="67"/>
        <item x="68"/>
        <item t="default"/>
      </items>
    </pivotField>
    <pivotField showAll="0">
      <items count="74">
        <item x="19"/>
        <item x="28"/>
        <item x="32"/>
        <item x="39"/>
        <item x="31"/>
        <item x="40"/>
        <item x="61"/>
        <item x="15"/>
        <item x="24"/>
        <item x="14"/>
        <item x="60"/>
        <item x="6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5"/>
        <item x="26"/>
        <item x="27"/>
        <item x="29"/>
        <item x="30"/>
        <item x="33"/>
        <item x="34"/>
        <item x="35"/>
        <item x="36"/>
        <item x="37"/>
        <item x="38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2"/>
        <item x="63"/>
        <item x="64"/>
        <item x="65"/>
        <item x="66"/>
        <item x="68"/>
        <item x="69"/>
        <item x="70"/>
        <item x="71"/>
        <item x="72"/>
        <item t="default"/>
      </items>
    </pivotField>
    <pivotField showAll="0">
      <items count="77">
        <item x="33"/>
        <item x="34"/>
        <item x="65"/>
        <item x="69"/>
        <item x="44"/>
        <item x="48"/>
        <item x="56"/>
        <item x="38"/>
        <item x="12"/>
        <item x="26"/>
        <item x="5"/>
        <item x="61"/>
        <item x="0"/>
        <item x="1"/>
        <item x="2"/>
        <item x="3"/>
        <item x="4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5"/>
        <item x="36"/>
        <item x="37"/>
        <item x="39"/>
        <item x="40"/>
        <item x="41"/>
        <item x="42"/>
        <item x="43"/>
        <item x="45"/>
        <item x="46"/>
        <item x="47"/>
        <item x="49"/>
        <item x="50"/>
        <item x="51"/>
        <item x="52"/>
        <item x="53"/>
        <item x="54"/>
        <item x="55"/>
        <item x="57"/>
        <item x="58"/>
        <item x="59"/>
        <item x="60"/>
        <item x="62"/>
        <item x="63"/>
        <item x="64"/>
        <item x="66"/>
        <item x="67"/>
        <item x="68"/>
        <item x="70"/>
        <item x="71"/>
        <item x="72"/>
        <item x="73"/>
        <item x="74"/>
        <item x="75"/>
        <item t="default"/>
      </items>
    </pivotField>
    <pivotField dataField="1" showAll="0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showAll="0">
      <items count="2">
        <item x="0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</pivotFields>
  <rowFields count="1">
    <field x="1"/>
  </rowFields>
  <rowItems count="5">
    <i>
      <x v="302"/>
    </i>
    <i>
      <x v="313"/>
    </i>
    <i>
      <x v="328"/>
    </i>
    <i>
      <x v="350"/>
    </i>
    <i>
      <x v="352"/>
    </i>
  </rowItems>
  <colItems count="1">
    <i/>
  </colItems>
  <dataFields count="1">
    <dataField name="Total Sales (Top)" fld="8" baseField="1" baseItem="3"/>
  </dataFields>
  <formats count="9">
    <format dxfId="50">
      <pivotArea field="1" type="button" dataOnly="0" labelOnly="1" outline="0" fieldPosition="0"/>
    </format>
    <format dxfId="51">
      <pivotArea dataOnly="0" labelOnly="1" outline="0" fieldPosition="0"/>
    </format>
    <format dxfId="52">
      <pivotArea type="all" dataOnly="0" outline="0" fieldPosition="0"/>
    </format>
    <format dxfId="53">
      <pivotArea outline="0" collapsedLevelsAreSubtotals="1" fieldPosition="0"/>
    </format>
    <format dxfId="54">
      <pivotArea field="1" type="button" dataOnly="0" labelOnly="1" outline="0" fieldPosition="0"/>
    </format>
    <format dxfId="55">
      <pivotArea dataOnly="0" labelOnly="1" fieldPosition="0">
        <references count="1">
          <reference field="1" count="5">
            <x v="3"/>
            <x v="21"/>
            <x v="53"/>
            <x v="94"/>
            <x v="102"/>
          </reference>
        </references>
      </pivotArea>
    </format>
    <format dxfId="56">
      <pivotArea dataOnly="0" labelOnly="1" outline="0" fieldPosition="0"/>
    </format>
    <format dxfId="57">
      <pivotArea type="all" dataOnly="0" outline="0" fieldPosition="0"/>
    </format>
    <format dxfId="58">
      <pivotArea type="all" dataOnly="0" outline="0" fieldPosition="0"/>
    </format>
  </formats>
  <pivotTableStyleInfo name="PivotStylePreset6_Accent5" showRowHeaders="1" showColHeaders="1" showRowStripes="1" showLastColumn="1"/>
  <filters count="1">
    <filter evalOrder="-1" fld="1" iMeasureFld="0" id="1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1" sourceName="Region">
  <pivotTables>
    <pivotTable tabId="3" name="PivotTable1"/>
    <pivotTable tabId="3" name="PivotTable3"/>
    <pivotTable tabId="3" name="PivotTable4"/>
    <pivotTable tabId="3" name="PivotTable2"/>
  </pivotTables>
  <data>
    <tabular pivotCacheId="1">
      <items count="23">
        <i x="5" s="0"/>
        <i x="4" s="0"/>
        <i x="0" s="1"/>
        <i x="6" s="0"/>
        <i x="7" s="0"/>
        <i x="1" s="0"/>
        <i x="3" s="0"/>
        <i x="2" s="0"/>
        <i x="10" s="0" nd="1"/>
        <i x="18" s="0" nd="1"/>
        <i x="16" s="0" nd="1"/>
        <i x="14" s="0" nd="1"/>
        <i x="9" s="0" nd="1"/>
        <i x="8" s="0" nd="1"/>
        <i x="15" s="0" nd="1"/>
        <i x="17" s="0" nd="1"/>
        <i x="20" s="0" nd="1"/>
        <i x="19" s="0" nd="1"/>
        <i x="11" s="0" nd="1"/>
        <i x="21" s="0" nd="1"/>
        <i x="12" s="0" nd="1"/>
        <i x="13" s="0" nd="1"/>
        <i x="22" s="0" nd="1"/>
      </items>
    </tabular>
  </data>
  <extLst/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 1" cache="Slicer_Region1" caption="Region" columnCount="8" showCaption="0" style="Slicer Style 1 2" rowHeight="252000"/>
</slicer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201"/>
  <sheetViews>
    <sheetView zoomScale="130" zoomScaleNormal="130" workbookViewId="0">
      <selection activeCell="O5" sqref="O5"/>
    </sheetView>
  </sheetViews>
  <sheetFormatPr defaultColWidth="9" defaultRowHeight="14.4"/>
  <cols>
    <col min="1" max="1" width="10" style="16" customWidth="1"/>
    <col min="2" max="2" width="21" customWidth="1"/>
    <col min="3" max="3" width="10.6666666666667" style="16" customWidth="1"/>
    <col min="4" max="8" width="5.66666666666667" customWidth="1"/>
    <col min="9" max="9" width="10" customWidth="1"/>
    <col min="10" max="10" width="6.66666666666667" customWidth="1"/>
    <col min="11" max="11" width="11.4444444444444" customWidth="1"/>
    <col min="12" max="12" width="18.7777777777778" customWidth="1"/>
  </cols>
  <sheetData>
    <row r="1" spans="1:12">
      <c r="A1" s="17" t="s">
        <v>0</v>
      </c>
      <c r="B1" s="18" t="s">
        <v>1</v>
      </c>
      <c r="C1" s="17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</row>
    <row r="2" spans="1:12">
      <c r="A2" s="19" t="s">
        <v>12</v>
      </c>
      <c r="B2" s="19" t="s">
        <v>13</v>
      </c>
      <c r="C2" s="19" t="s">
        <v>14</v>
      </c>
      <c r="D2" s="20">
        <v>49</v>
      </c>
      <c r="E2" s="20">
        <v>84</v>
      </c>
      <c r="F2" s="20">
        <v>98</v>
      </c>
      <c r="G2" s="20">
        <v>67</v>
      </c>
      <c r="H2" s="20">
        <v>41</v>
      </c>
      <c r="I2" s="22">
        <f t="shared" ref="I2:I65" si="0">SUM(D2:H2)</f>
        <v>339</v>
      </c>
      <c r="J2" s="22">
        <v>500</v>
      </c>
      <c r="K2" s="23">
        <f t="shared" ref="K2:K65" si="1">I2/J2</f>
        <v>0.678</v>
      </c>
      <c r="L2" s="24">
        <f t="shared" ref="L2:L65" si="2">100%-K2</f>
        <v>0.322</v>
      </c>
    </row>
    <row r="3" spans="1:12">
      <c r="A3" s="19" t="s">
        <v>15</v>
      </c>
      <c r="B3" s="19" t="s">
        <v>16</v>
      </c>
      <c r="C3" s="19" t="s">
        <v>14</v>
      </c>
      <c r="D3" s="20">
        <v>44</v>
      </c>
      <c r="E3" s="20">
        <v>85</v>
      </c>
      <c r="F3" s="20">
        <v>47</v>
      </c>
      <c r="G3" s="20">
        <v>15</v>
      </c>
      <c r="H3" s="20">
        <v>48</v>
      </c>
      <c r="I3" s="22">
        <f t="shared" si="0"/>
        <v>239</v>
      </c>
      <c r="J3" s="22">
        <v>500</v>
      </c>
      <c r="K3" s="23">
        <f t="shared" si="1"/>
        <v>0.478</v>
      </c>
      <c r="L3" s="24">
        <f t="shared" si="2"/>
        <v>0.522</v>
      </c>
    </row>
    <row r="4" spans="1:12">
      <c r="A4" s="19" t="s">
        <v>17</v>
      </c>
      <c r="B4" s="19" t="s">
        <v>18</v>
      </c>
      <c r="C4" s="19" t="s">
        <v>19</v>
      </c>
      <c r="D4" s="20">
        <v>45</v>
      </c>
      <c r="E4" s="20">
        <v>79</v>
      </c>
      <c r="F4" s="20">
        <v>88</v>
      </c>
      <c r="G4" s="20">
        <v>73</v>
      </c>
      <c r="H4" s="20">
        <v>94</v>
      </c>
      <c r="I4" s="22">
        <f t="shared" si="0"/>
        <v>379</v>
      </c>
      <c r="J4" s="22">
        <v>500</v>
      </c>
      <c r="K4" s="23">
        <f t="shared" si="1"/>
        <v>0.758</v>
      </c>
      <c r="L4" s="24">
        <f t="shared" si="2"/>
        <v>0.242</v>
      </c>
    </row>
    <row r="5" spans="1:12">
      <c r="A5" s="19" t="s">
        <v>20</v>
      </c>
      <c r="B5" s="19" t="s">
        <v>21</v>
      </c>
      <c r="C5" s="19" t="s">
        <v>19</v>
      </c>
      <c r="D5" s="20">
        <v>52</v>
      </c>
      <c r="E5" s="20">
        <v>99</v>
      </c>
      <c r="F5" s="20">
        <v>13</v>
      </c>
      <c r="G5" s="20">
        <v>95</v>
      </c>
      <c r="H5" s="20">
        <v>29</v>
      </c>
      <c r="I5" s="22">
        <f t="shared" si="0"/>
        <v>288</v>
      </c>
      <c r="J5" s="22">
        <v>500</v>
      </c>
      <c r="K5" s="23">
        <f t="shared" si="1"/>
        <v>0.576</v>
      </c>
      <c r="L5" s="24">
        <f t="shared" si="2"/>
        <v>0.424</v>
      </c>
    </row>
    <row r="6" spans="1:12">
      <c r="A6" s="19" t="s">
        <v>22</v>
      </c>
      <c r="B6" s="19" t="s">
        <v>23</v>
      </c>
      <c r="C6" s="19" t="s">
        <v>24</v>
      </c>
      <c r="D6" s="20">
        <v>35</v>
      </c>
      <c r="E6" s="20">
        <v>54</v>
      </c>
      <c r="F6" s="20">
        <v>49</v>
      </c>
      <c r="G6" s="20">
        <v>26</v>
      </c>
      <c r="H6" s="20">
        <v>49</v>
      </c>
      <c r="I6" s="22">
        <f t="shared" si="0"/>
        <v>213</v>
      </c>
      <c r="J6" s="22">
        <v>500</v>
      </c>
      <c r="K6" s="23">
        <f t="shared" si="1"/>
        <v>0.426</v>
      </c>
      <c r="L6" s="24">
        <f t="shared" si="2"/>
        <v>0.574</v>
      </c>
    </row>
    <row r="7" spans="1:12">
      <c r="A7" s="19" t="s">
        <v>25</v>
      </c>
      <c r="B7" s="19" t="s">
        <v>26</v>
      </c>
      <c r="C7" s="19" t="s">
        <v>27</v>
      </c>
      <c r="D7" s="20">
        <v>86</v>
      </c>
      <c r="E7" s="20">
        <v>31</v>
      </c>
      <c r="F7" s="20">
        <v>23</v>
      </c>
      <c r="G7" s="20">
        <v>48</v>
      </c>
      <c r="H7" s="20">
        <v>77</v>
      </c>
      <c r="I7" s="22">
        <f t="shared" si="0"/>
        <v>265</v>
      </c>
      <c r="J7" s="22">
        <v>500</v>
      </c>
      <c r="K7" s="23">
        <f t="shared" si="1"/>
        <v>0.53</v>
      </c>
      <c r="L7" s="24">
        <f t="shared" si="2"/>
        <v>0.47</v>
      </c>
    </row>
    <row r="8" spans="1:12">
      <c r="A8" s="19" t="s">
        <v>28</v>
      </c>
      <c r="B8" s="19" t="s">
        <v>29</v>
      </c>
      <c r="C8" s="19" t="s">
        <v>19</v>
      </c>
      <c r="D8" s="20">
        <v>84</v>
      </c>
      <c r="E8" s="20">
        <v>28</v>
      </c>
      <c r="F8" s="20">
        <v>98</v>
      </c>
      <c r="G8" s="20">
        <v>80</v>
      </c>
      <c r="H8" s="20">
        <v>79</v>
      </c>
      <c r="I8" s="22">
        <f t="shared" si="0"/>
        <v>369</v>
      </c>
      <c r="J8" s="22">
        <v>500</v>
      </c>
      <c r="K8" s="23">
        <f t="shared" si="1"/>
        <v>0.738</v>
      </c>
      <c r="L8" s="24">
        <f t="shared" si="2"/>
        <v>0.262</v>
      </c>
    </row>
    <row r="9" spans="1:12">
      <c r="A9" s="19" t="s">
        <v>30</v>
      </c>
      <c r="B9" s="19" t="s">
        <v>31</v>
      </c>
      <c r="C9" s="19" t="s">
        <v>32</v>
      </c>
      <c r="D9" s="20">
        <v>73</v>
      </c>
      <c r="E9" s="20">
        <v>97</v>
      </c>
      <c r="F9" s="20">
        <v>38</v>
      </c>
      <c r="G9" s="20">
        <v>24</v>
      </c>
      <c r="H9" s="20">
        <v>53</v>
      </c>
      <c r="I9" s="22">
        <f t="shared" si="0"/>
        <v>285</v>
      </c>
      <c r="J9" s="22">
        <v>500</v>
      </c>
      <c r="K9" s="23">
        <f t="shared" si="1"/>
        <v>0.57</v>
      </c>
      <c r="L9" s="24">
        <f t="shared" si="2"/>
        <v>0.43</v>
      </c>
    </row>
    <row r="10" spans="1:12">
      <c r="A10" s="19" t="s">
        <v>33</v>
      </c>
      <c r="B10" s="19" t="s">
        <v>34</v>
      </c>
      <c r="C10" s="19" t="s">
        <v>14</v>
      </c>
      <c r="D10" s="20">
        <v>54</v>
      </c>
      <c r="E10" s="20">
        <v>26</v>
      </c>
      <c r="F10" s="20">
        <v>53</v>
      </c>
      <c r="G10" s="20">
        <v>36</v>
      </c>
      <c r="H10" s="20">
        <v>20</v>
      </c>
      <c r="I10" s="22">
        <f t="shared" si="0"/>
        <v>189</v>
      </c>
      <c r="J10" s="22">
        <v>500</v>
      </c>
      <c r="K10" s="23">
        <f t="shared" si="1"/>
        <v>0.378</v>
      </c>
      <c r="L10" s="24">
        <f t="shared" si="2"/>
        <v>0.622</v>
      </c>
    </row>
    <row r="11" spans="1:12">
      <c r="A11" s="19" t="s">
        <v>35</v>
      </c>
      <c r="B11" s="19" t="s">
        <v>36</v>
      </c>
      <c r="C11" s="19" t="s">
        <v>19</v>
      </c>
      <c r="D11" s="20">
        <v>52</v>
      </c>
      <c r="E11" s="20">
        <v>52</v>
      </c>
      <c r="F11" s="20">
        <v>19</v>
      </c>
      <c r="G11" s="20">
        <v>53</v>
      </c>
      <c r="H11" s="20">
        <v>37</v>
      </c>
      <c r="I11" s="22">
        <f t="shared" si="0"/>
        <v>213</v>
      </c>
      <c r="J11" s="22">
        <v>500</v>
      </c>
      <c r="K11" s="23">
        <f t="shared" si="1"/>
        <v>0.426</v>
      </c>
      <c r="L11" s="24">
        <f t="shared" si="2"/>
        <v>0.574</v>
      </c>
    </row>
    <row r="12" spans="1:12">
      <c r="A12" s="19" t="s">
        <v>37</v>
      </c>
      <c r="B12" s="19" t="s">
        <v>38</v>
      </c>
      <c r="C12" s="19" t="s">
        <v>27</v>
      </c>
      <c r="D12" s="20">
        <v>63</v>
      </c>
      <c r="E12" s="20">
        <v>17</v>
      </c>
      <c r="F12" s="20">
        <v>40</v>
      </c>
      <c r="G12" s="20">
        <v>48</v>
      </c>
      <c r="H12" s="20">
        <v>51</v>
      </c>
      <c r="I12" s="22">
        <f t="shared" si="0"/>
        <v>219</v>
      </c>
      <c r="J12" s="22">
        <v>500</v>
      </c>
      <c r="K12" s="23">
        <f t="shared" si="1"/>
        <v>0.438</v>
      </c>
      <c r="L12" s="24">
        <f t="shared" si="2"/>
        <v>0.562</v>
      </c>
    </row>
    <row r="13" spans="1:12">
      <c r="A13" s="19" t="s">
        <v>39</v>
      </c>
      <c r="B13" s="19" t="s">
        <v>40</v>
      </c>
      <c r="C13" s="19" t="s">
        <v>14</v>
      </c>
      <c r="D13" s="20">
        <v>79</v>
      </c>
      <c r="E13" s="20">
        <v>99</v>
      </c>
      <c r="F13" s="20">
        <v>95</v>
      </c>
      <c r="G13" s="20">
        <v>12</v>
      </c>
      <c r="H13" s="20">
        <v>91</v>
      </c>
      <c r="I13" s="22">
        <f t="shared" si="0"/>
        <v>376</v>
      </c>
      <c r="J13" s="22">
        <v>500</v>
      </c>
      <c r="K13" s="23">
        <f t="shared" si="1"/>
        <v>0.752</v>
      </c>
      <c r="L13" s="24">
        <f t="shared" si="2"/>
        <v>0.248</v>
      </c>
    </row>
    <row r="14" spans="1:12">
      <c r="A14" s="19" t="s">
        <v>41</v>
      </c>
      <c r="B14" s="19" t="s">
        <v>42</v>
      </c>
      <c r="C14" s="19" t="s">
        <v>27</v>
      </c>
      <c r="D14" s="21">
        <v>95</v>
      </c>
      <c r="E14" s="20">
        <v>88</v>
      </c>
      <c r="F14" s="20">
        <v>11</v>
      </c>
      <c r="G14" s="20">
        <v>78</v>
      </c>
      <c r="H14" s="20">
        <v>60</v>
      </c>
      <c r="I14" s="22">
        <f t="shared" si="0"/>
        <v>332</v>
      </c>
      <c r="J14" s="22">
        <v>500</v>
      </c>
      <c r="K14" s="23">
        <f t="shared" si="1"/>
        <v>0.664</v>
      </c>
      <c r="L14" s="24">
        <f t="shared" si="2"/>
        <v>0.336</v>
      </c>
    </row>
    <row r="15" spans="1:12">
      <c r="A15" s="19" t="s">
        <v>43</v>
      </c>
      <c r="B15" s="19" t="s">
        <v>44</v>
      </c>
      <c r="C15" s="19" t="s">
        <v>45</v>
      </c>
      <c r="D15" s="20">
        <v>83</v>
      </c>
      <c r="E15" s="20">
        <v>77</v>
      </c>
      <c r="F15" s="20">
        <v>66</v>
      </c>
      <c r="G15" s="20">
        <v>22</v>
      </c>
      <c r="H15" s="20">
        <v>40</v>
      </c>
      <c r="I15" s="22">
        <f t="shared" si="0"/>
        <v>288</v>
      </c>
      <c r="J15" s="22">
        <v>500</v>
      </c>
      <c r="K15" s="23">
        <f t="shared" si="1"/>
        <v>0.576</v>
      </c>
      <c r="L15" s="24">
        <f t="shared" si="2"/>
        <v>0.424</v>
      </c>
    </row>
    <row r="16" spans="1:12">
      <c r="A16" s="19" t="s">
        <v>46</v>
      </c>
      <c r="B16" s="19" t="s">
        <v>47</v>
      </c>
      <c r="C16" s="19" t="s">
        <v>48</v>
      </c>
      <c r="D16" s="20">
        <v>78</v>
      </c>
      <c r="E16" s="20">
        <v>58</v>
      </c>
      <c r="F16" s="20">
        <v>34</v>
      </c>
      <c r="G16" s="20">
        <v>84</v>
      </c>
      <c r="H16" s="20">
        <v>31</v>
      </c>
      <c r="I16" s="22">
        <f t="shared" si="0"/>
        <v>285</v>
      </c>
      <c r="J16" s="22">
        <v>500</v>
      </c>
      <c r="K16" s="23">
        <f t="shared" si="1"/>
        <v>0.57</v>
      </c>
      <c r="L16" s="24">
        <f t="shared" si="2"/>
        <v>0.43</v>
      </c>
    </row>
    <row r="17" spans="1:12">
      <c r="A17" s="19" t="s">
        <v>49</v>
      </c>
      <c r="B17" s="19" t="s">
        <v>50</v>
      </c>
      <c r="C17" s="19" t="s">
        <v>24</v>
      </c>
      <c r="D17" s="20">
        <v>14</v>
      </c>
      <c r="E17" s="20">
        <v>25</v>
      </c>
      <c r="F17" s="20">
        <v>45</v>
      </c>
      <c r="G17" s="20">
        <v>70</v>
      </c>
      <c r="H17" s="20">
        <v>45</v>
      </c>
      <c r="I17" s="22">
        <f t="shared" si="0"/>
        <v>199</v>
      </c>
      <c r="J17" s="22">
        <v>500</v>
      </c>
      <c r="K17" s="23">
        <f t="shared" si="1"/>
        <v>0.398</v>
      </c>
      <c r="L17" s="24">
        <f t="shared" si="2"/>
        <v>0.602</v>
      </c>
    </row>
    <row r="18" spans="1:12">
      <c r="A18" s="19" t="s">
        <v>51</v>
      </c>
      <c r="B18" s="19" t="s">
        <v>52</v>
      </c>
      <c r="C18" s="19" t="s">
        <v>53</v>
      </c>
      <c r="D18" s="20">
        <v>37</v>
      </c>
      <c r="E18" s="20">
        <v>69</v>
      </c>
      <c r="F18" s="20">
        <v>96</v>
      </c>
      <c r="G18" s="20">
        <v>66</v>
      </c>
      <c r="H18" s="20">
        <v>38</v>
      </c>
      <c r="I18" s="22">
        <f t="shared" si="0"/>
        <v>306</v>
      </c>
      <c r="J18" s="22">
        <v>500</v>
      </c>
      <c r="K18" s="23">
        <f t="shared" si="1"/>
        <v>0.612</v>
      </c>
      <c r="L18" s="24">
        <f t="shared" si="2"/>
        <v>0.388</v>
      </c>
    </row>
    <row r="19" spans="1:12">
      <c r="A19" s="19" t="s">
        <v>54</v>
      </c>
      <c r="B19" s="19" t="s">
        <v>55</v>
      </c>
      <c r="C19" s="19" t="s">
        <v>53</v>
      </c>
      <c r="D19" s="20">
        <v>11</v>
      </c>
      <c r="E19" s="20">
        <v>46</v>
      </c>
      <c r="F19" s="20">
        <v>91</v>
      </c>
      <c r="G19" s="20">
        <v>98</v>
      </c>
      <c r="H19" s="20">
        <v>45</v>
      </c>
      <c r="I19" s="22">
        <f t="shared" si="0"/>
        <v>291</v>
      </c>
      <c r="J19" s="22">
        <v>500</v>
      </c>
      <c r="K19" s="23">
        <f t="shared" si="1"/>
        <v>0.582</v>
      </c>
      <c r="L19" s="24">
        <f t="shared" si="2"/>
        <v>0.418</v>
      </c>
    </row>
    <row r="20" spans="1:12">
      <c r="A20" s="19" t="s">
        <v>56</v>
      </c>
      <c r="B20" s="19" t="s">
        <v>57</v>
      </c>
      <c r="C20" s="19" t="s">
        <v>32</v>
      </c>
      <c r="D20" s="20">
        <v>19</v>
      </c>
      <c r="E20" s="20">
        <v>34</v>
      </c>
      <c r="F20" s="20">
        <v>64</v>
      </c>
      <c r="G20" s="20">
        <v>65</v>
      </c>
      <c r="H20" s="20">
        <v>70</v>
      </c>
      <c r="I20" s="22">
        <f t="shared" si="0"/>
        <v>252</v>
      </c>
      <c r="J20" s="22">
        <v>500</v>
      </c>
      <c r="K20" s="23">
        <f t="shared" si="1"/>
        <v>0.504</v>
      </c>
      <c r="L20" s="24">
        <f t="shared" si="2"/>
        <v>0.496</v>
      </c>
    </row>
    <row r="21" spans="1:12">
      <c r="A21" s="19" t="s">
        <v>58</v>
      </c>
      <c r="B21" s="19" t="s">
        <v>59</v>
      </c>
      <c r="C21" s="19" t="s">
        <v>53</v>
      </c>
      <c r="D21" s="20">
        <v>93</v>
      </c>
      <c r="E21" s="20">
        <v>84</v>
      </c>
      <c r="F21" s="20">
        <v>13</v>
      </c>
      <c r="G21" s="20">
        <v>45</v>
      </c>
      <c r="H21" s="20">
        <v>18</v>
      </c>
      <c r="I21" s="22">
        <f t="shared" si="0"/>
        <v>253</v>
      </c>
      <c r="J21" s="22">
        <v>500</v>
      </c>
      <c r="K21" s="23">
        <f t="shared" si="1"/>
        <v>0.506</v>
      </c>
      <c r="L21" s="24">
        <f t="shared" si="2"/>
        <v>0.494</v>
      </c>
    </row>
    <row r="22" spans="1:12">
      <c r="A22" s="19" t="s">
        <v>60</v>
      </c>
      <c r="B22" s="19" t="s">
        <v>61</v>
      </c>
      <c r="C22" s="19" t="s">
        <v>24</v>
      </c>
      <c r="D22" s="20">
        <v>68</v>
      </c>
      <c r="E22" s="20">
        <v>73</v>
      </c>
      <c r="F22" s="20">
        <v>97</v>
      </c>
      <c r="G22" s="20">
        <v>76</v>
      </c>
      <c r="H22" s="20">
        <v>53</v>
      </c>
      <c r="I22" s="22">
        <f t="shared" si="0"/>
        <v>367</v>
      </c>
      <c r="J22" s="22">
        <v>500</v>
      </c>
      <c r="K22" s="23">
        <f t="shared" si="1"/>
        <v>0.734</v>
      </c>
      <c r="L22" s="24">
        <f t="shared" si="2"/>
        <v>0.266</v>
      </c>
    </row>
    <row r="23" spans="1:12">
      <c r="A23" s="19" t="s">
        <v>62</v>
      </c>
      <c r="B23" s="19" t="s">
        <v>63</v>
      </c>
      <c r="C23" s="19" t="s">
        <v>27</v>
      </c>
      <c r="D23" s="20">
        <v>99</v>
      </c>
      <c r="E23" s="20">
        <v>17</v>
      </c>
      <c r="F23" s="20">
        <v>48</v>
      </c>
      <c r="G23" s="20">
        <v>44</v>
      </c>
      <c r="H23" s="20">
        <v>93</v>
      </c>
      <c r="I23" s="22">
        <f t="shared" si="0"/>
        <v>301</v>
      </c>
      <c r="J23" s="22">
        <v>500</v>
      </c>
      <c r="K23" s="23">
        <f t="shared" si="1"/>
        <v>0.602</v>
      </c>
      <c r="L23" s="24">
        <f t="shared" si="2"/>
        <v>0.398</v>
      </c>
    </row>
    <row r="24" spans="1:12">
      <c r="A24" s="19" t="s">
        <v>64</v>
      </c>
      <c r="B24" s="19" t="s">
        <v>65</v>
      </c>
      <c r="C24" s="19" t="s">
        <v>19</v>
      </c>
      <c r="D24" s="20">
        <v>57</v>
      </c>
      <c r="E24" s="20">
        <v>28</v>
      </c>
      <c r="F24" s="20">
        <v>31</v>
      </c>
      <c r="G24" s="20">
        <v>34</v>
      </c>
      <c r="H24" s="20">
        <v>52</v>
      </c>
      <c r="I24" s="22">
        <f t="shared" si="0"/>
        <v>202</v>
      </c>
      <c r="J24" s="22">
        <v>500</v>
      </c>
      <c r="K24" s="23">
        <f t="shared" si="1"/>
        <v>0.404</v>
      </c>
      <c r="L24" s="24">
        <f t="shared" si="2"/>
        <v>0.596</v>
      </c>
    </row>
    <row r="25" spans="1:12">
      <c r="A25" s="19" t="s">
        <v>66</v>
      </c>
      <c r="B25" s="19" t="s">
        <v>67</v>
      </c>
      <c r="C25" s="19" t="s">
        <v>24</v>
      </c>
      <c r="D25" s="20">
        <v>40</v>
      </c>
      <c r="E25" s="20">
        <v>22</v>
      </c>
      <c r="F25" s="20">
        <v>18</v>
      </c>
      <c r="G25" s="20">
        <v>11</v>
      </c>
      <c r="H25" s="20">
        <v>92</v>
      </c>
      <c r="I25" s="22">
        <f t="shared" si="0"/>
        <v>183</v>
      </c>
      <c r="J25" s="22">
        <v>500</v>
      </c>
      <c r="K25" s="23">
        <f t="shared" si="1"/>
        <v>0.366</v>
      </c>
      <c r="L25" s="24">
        <f t="shared" si="2"/>
        <v>0.634</v>
      </c>
    </row>
    <row r="26" spans="1:12">
      <c r="A26" s="19" t="s">
        <v>68</v>
      </c>
      <c r="B26" s="19" t="s">
        <v>69</v>
      </c>
      <c r="C26" s="19" t="s">
        <v>32</v>
      </c>
      <c r="D26" s="20">
        <v>47</v>
      </c>
      <c r="E26" s="20">
        <v>99</v>
      </c>
      <c r="F26" s="20">
        <v>94</v>
      </c>
      <c r="G26" s="20">
        <v>75</v>
      </c>
      <c r="H26" s="20">
        <v>29</v>
      </c>
      <c r="I26" s="22">
        <f t="shared" si="0"/>
        <v>344</v>
      </c>
      <c r="J26" s="22">
        <v>500</v>
      </c>
      <c r="K26" s="23">
        <f t="shared" si="1"/>
        <v>0.688</v>
      </c>
      <c r="L26" s="24">
        <f t="shared" si="2"/>
        <v>0.312</v>
      </c>
    </row>
    <row r="27" spans="1:12">
      <c r="A27" s="19" t="s">
        <v>70</v>
      </c>
      <c r="B27" s="19" t="s">
        <v>71</v>
      </c>
      <c r="C27" s="19" t="s">
        <v>48</v>
      </c>
      <c r="D27" s="20">
        <v>16</v>
      </c>
      <c r="E27" s="20">
        <v>71</v>
      </c>
      <c r="F27" s="20">
        <v>80</v>
      </c>
      <c r="G27" s="20">
        <v>76</v>
      </c>
      <c r="H27" s="20">
        <v>33</v>
      </c>
      <c r="I27" s="22">
        <f t="shared" si="0"/>
        <v>276</v>
      </c>
      <c r="J27" s="22">
        <v>500</v>
      </c>
      <c r="K27" s="23">
        <f t="shared" si="1"/>
        <v>0.552</v>
      </c>
      <c r="L27" s="24">
        <f t="shared" si="2"/>
        <v>0.448</v>
      </c>
    </row>
    <row r="28" spans="1:12">
      <c r="A28" s="19" t="s">
        <v>72</v>
      </c>
      <c r="B28" s="19" t="s">
        <v>73</v>
      </c>
      <c r="C28" s="19" t="s">
        <v>14</v>
      </c>
      <c r="D28" s="20">
        <v>72</v>
      </c>
      <c r="E28" s="20">
        <v>87</v>
      </c>
      <c r="F28" s="20">
        <v>92</v>
      </c>
      <c r="G28" s="20">
        <v>72</v>
      </c>
      <c r="H28" s="20">
        <v>34</v>
      </c>
      <c r="I28" s="22">
        <f t="shared" si="0"/>
        <v>357</v>
      </c>
      <c r="J28" s="22">
        <v>500</v>
      </c>
      <c r="K28" s="23">
        <f t="shared" si="1"/>
        <v>0.714</v>
      </c>
      <c r="L28" s="24">
        <f t="shared" si="2"/>
        <v>0.286</v>
      </c>
    </row>
    <row r="29" spans="1:12">
      <c r="A29" s="19" t="s">
        <v>74</v>
      </c>
      <c r="B29" s="19" t="s">
        <v>75</v>
      </c>
      <c r="C29" s="19" t="s">
        <v>19</v>
      </c>
      <c r="D29" s="20">
        <v>30</v>
      </c>
      <c r="E29" s="20">
        <v>38</v>
      </c>
      <c r="F29" s="20">
        <v>70</v>
      </c>
      <c r="G29" s="20">
        <v>89</v>
      </c>
      <c r="H29" s="20">
        <v>97</v>
      </c>
      <c r="I29" s="22">
        <f t="shared" si="0"/>
        <v>324</v>
      </c>
      <c r="J29" s="22">
        <v>500</v>
      </c>
      <c r="K29" s="23">
        <f t="shared" si="1"/>
        <v>0.648</v>
      </c>
      <c r="L29" s="24">
        <f t="shared" si="2"/>
        <v>0.352</v>
      </c>
    </row>
    <row r="30" spans="1:12">
      <c r="A30" s="19" t="s">
        <v>76</v>
      </c>
      <c r="B30" s="19" t="s">
        <v>77</v>
      </c>
      <c r="C30" s="19" t="s">
        <v>32</v>
      </c>
      <c r="D30" s="20">
        <v>65</v>
      </c>
      <c r="E30" s="20">
        <v>90</v>
      </c>
      <c r="F30" s="20">
        <v>91</v>
      </c>
      <c r="G30" s="20">
        <v>85</v>
      </c>
      <c r="H30" s="20">
        <v>10</v>
      </c>
      <c r="I30" s="22">
        <f t="shared" si="0"/>
        <v>341</v>
      </c>
      <c r="J30" s="22">
        <v>500</v>
      </c>
      <c r="K30" s="23">
        <f t="shared" si="1"/>
        <v>0.682</v>
      </c>
      <c r="L30" s="24">
        <f t="shared" si="2"/>
        <v>0.318</v>
      </c>
    </row>
    <row r="31" spans="1:12">
      <c r="A31" s="19" t="s">
        <v>78</v>
      </c>
      <c r="B31" s="19" t="s">
        <v>79</v>
      </c>
      <c r="C31" s="19" t="s">
        <v>19</v>
      </c>
      <c r="D31" s="20">
        <v>83</v>
      </c>
      <c r="E31" s="20">
        <v>46</v>
      </c>
      <c r="F31" s="20">
        <v>99</v>
      </c>
      <c r="G31" s="20">
        <v>36</v>
      </c>
      <c r="H31" s="20">
        <v>89</v>
      </c>
      <c r="I31" s="22">
        <f t="shared" si="0"/>
        <v>353</v>
      </c>
      <c r="J31" s="22">
        <v>500</v>
      </c>
      <c r="K31" s="23">
        <f t="shared" si="1"/>
        <v>0.706</v>
      </c>
      <c r="L31" s="24">
        <f t="shared" si="2"/>
        <v>0.294</v>
      </c>
    </row>
    <row r="32" spans="1:12">
      <c r="A32" s="19" t="s">
        <v>80</v>
      </c>
      <c r="B32" s="19" t="s">
        <v>81</v>
      </c>
      <c r="C32" s="19" t="s">
        <v>32</v>
      </c>
      <c r="D32" s="20">
        <v>10</v>
      </c>
      <c r="E32" s="20">
        <v>66</v>
      </c>
      <c r="F32" s="20">
        <v>40</v>
      </c>
      <c r="G32" s="20">
        <v>22</v>
      </c>
      <c r="H32" s="20">
        <v>38</v>
      </c>
      <c r="I32" s="22">
        <f t="shared" si="0"/>
        <v>176</v>
      </c>
      <c r="J32" s="22">
        <v>500</v>
      </c>
      <c r="K32" s="23">
        <f t="shared" si="1"/>
        <v>0.352</v>
      </c>
      <c r="L32" s="24">
        <f t="shared" si="2"/>
        <v>0.648</v>
      </c>
    </row>
    <row r="33" spans="1:12">
      <c r="A33" s="19" t="s">
        <v>82</v>
      </c>
      <c r="B33" s="19" t="s">
        <v>83</v>
      </c>
      <c r="C33" s="19" t="s">
        <v>24</v>
      </c>
      <c r="D33" s="20">
        <v>37</v>
      </c>
      <c r="E33" s="20">
        <v>30</v>
      </c>
      <c r="F33" s="20">
        <v>19</v>
      </c>
      <c r="G33" s="20">
        <v>77</v>
      </c>
      <c r="H33" s="20">
        <v>67</v>
      </c>
      <c r="I33" s="22">
        <f t="shared" si="0"/>
        <v>230</v>
      </c>
      <c r="J33" s="22">
        <v>500</v>
      </c>
      <c r="K33" s="23">
        <f t="shared" si="1"/>
        <v>0.46</v>
      </c>
      <c r="L33" s="24">
        <f t="shared" si="2"/>
        <v>0.54</v>
      </c>
    </row>
    <row r="34" spans="1:12">
      <c r="A34" s="19" t="s">
        <v>84</v>
      </c>
      <c r="B34" s="19" t="s">
        <v>85</v>
      </c>
      <c r="C34" s="19" t="s">
        <v>24</v>
      </c>
      <c r="D34" s="20">
        <v>83</v>
      </c>
      <c r="E34" s="20">
        <v>46</v>
      </c>
      <c r="F34" s="20">
        <v>17</v>
      </c>
      <c r="G34" s="20">
        <v>94</v>
      </c>
      <c r="H34" s="20">
        <v>92</v>
      </c>
      <c r="I34" s="22">
        <f t="shared" si="0"/>
        <v>332</v>
      </c>
      <c r="J34" s="22">
        <v>500</v>
      </c>
      <c r="K34" s="23">
        <f t="shared" si="1"/>
        <v>0.664</v>
      </c>
      <c r="L34" s="24">
        <f t="shared" si="2"/>
        <v>0.336</v>
      </c>
    </row>
    <row r="35" spans="1:12">
      <c r="A35" s="19" t="s">
        <v>86</v>
      </c>
      <c r="B35" s="19" t="s">
        <v>87</v>
      </c>
      <c r="C35" s="19" t="s">
        <v>32</v>
      </c>
      <c r="D35" s="20">
        <v>84</v>
      </c>
      <c r="E35" s="20">
        <v>59</v>
      </c>
      <c r="F35" s="20">
        <v>41</v>
      </c>
      <c r="G35" s="20">
        <v>17</v>
      </c>
      <c r="H35" s="20">
        <v>22</v>
      </c>
      <c r="I35" s="22">
        <f t="shared" si="0"/>
        <v>223</v>
      </c>
      <c r="J35" s="22">
        <v>500</v>
      </c>
      <c r="K35" s="23">
        <f t="shared" si="1"/>
        <v>0.446</v>
      </c>
      <c r="L35" s="24">
        <f t="shared" si="2"/>
        <v>0.554</v>
      </c>
    </row>
    <row r="36" spans="1:12">
      <c r="A36" s="19" t="s">
        <v>88</v>
      </c>
      <c r="B36" s="19" t="s">
        <v>89</v>
      </c>
      <c r="C36" s="19" t="s">
        <v>48</v>
      </c>
      <c r="D36" s="20">
        <v>82</v>
      </c>
      <c r="E36" s="20">
        <v>54</v>
      </c>
      <c r="F36" s="20">
        <v>79</v>
      </c>
      <c r="G36" s="20">
        <v>61</v>
      </c>
      <c r="H36" s="20">
        <v>47</v>
      </c>
      <c r="I36" s="22">
        <f t="shared" si="0"/>
        <v>323</v>
      </c>
      <c r="J36" s="22">
        <v>500</v>
      </c>
      <c r="K36" s="23">
        <f t="shared" si="1"/>
        <v>0.646</v>
      </c>
      <c r="L36" s="24">
        <f t="shared" si="2"/>
        <v>0.354</v>
      </c>
    </row>
    <row r="37" spans="1:12">
      <c r="A37" s="19" t="s">
        <v>90</v>
      </c>
      <c r="B37" s="19" t="s">
        <v>91</v>
      </c>
      <c r="C37" s="19" t="s">
        <v>45</v>
      </c>
      <c r="D37" s="20">
        <v>47</v>
      </c>
      <c r="E37" s="20">
        <v>23</v>
      </c>
      <c r="F37" s="20">
        <v>19</v>
      </c>
      <c r="G37" s="20">
        <v>64</v>
      </c>
      <c r="H37" s="20">
        <v>61</v>
      </c>
      <c r="I37" s="22">
        <f t="shared" si="0"/>
        <v>214</v>
      </c>
      <c r="J37" s="22">
        <v>500</v>
      </c>
      <c r="K37" s="23">
        <f t="shared" si="1"/>
        <v>0.428</v>
      </c>
      <c r="L37" s="24">
        <f t="shared" si="2"/>
        <v>0.572</v>
      </c>
    </row>
    <row r="38" spans="1:12">
      <c r="A38" s="19" t="s">
        <v>92</v>
      </c>
      <c r="B38" s="19" t="s">
        <v>93</v>
      </c>
      <c r="C38" s="19" t="s">
        <v>19</v>
      </c>
      <c r="D38" s="20">
        <v>91</v>
      </c>
      <c r="E38" s="20">
        <v>13</v>
      </c>
      <c r="F38" s="20">
        <v>79</v>
      </c>
      <c r="G38" s="20">
        <v>85</v>
      </c>
      <c r="H38" s="20">
        <v>67</v>
      </c>
      <c r="I38" s="22">
        <f t="shared" si="0"/>
        <v>335</v>
      </c>
      <c r="J38" s="22">
        <v>500</v>
      </c>
      <c r="K38" s="23">
        <f t="shared" si="1"/>
        <v>0.67</v>
      </c>
      <c r="L38" s="24">
        <f t="shared" si="2"/>
        <v>0.33</v>
      </c>
    </row>
    <row r="39" spans="1:12">
      <c r="A39" s="19" t="s">
        <v>94</v>
      </c>
      <c r="B39" s="19" t="s">
        <v>95</v>
      </c>
      <c r="C39" s="19" t="s">
        <v>45</v>
      </c>
      <c r="D39" s="20">
        <v>66</v>
      </c>
      <c r="E39" s="20">
        <v>59</v>
      </c>
      <c r="F39" s="20">
        <v>25</v>
      </c>
      <c r="G39" s="20">
        <v>55</v>
      </c>
      <c r="H39" s="20">
        <v>59</v>
      </c>
      <c r="I39" s="22">
        <f t="shared" si="0"/>
        <v>264</v>
      </c>
      <c r="J39" s="22">
        <v>500</v>
      </c>
      <c r="K39" s="23">
        <f t="shared" si="1"/>
        <v>0.528</v>
      </c>
      <c r="L39" s="24">
        <f t="shared" si="2"/>
        <v>0.472</v>
      </c>
    </row>
    <row r="40" spans="1:12">
      <c r="A40" s="19" t="s">
        <v>96</v>
      </c>
      <c r="B40" s="19" t="s">
        <v>97</v>
      </c>
      <c r="C40" s="19" t="s">
        <v>24</v>
      </c>
      <c r="D40" s="20">
        <v>70</v>
      </c>
      <c r="E40" s="20">
        <v>18</v>
      </c>
      <c r="F40" s="20">
        <v>88</v>
      </c>
      <c r="G40" s="20">
        <v>46</v>
      </c>
      <c r="H40" s="20">
        <v>52</v>
      </c>
      <c r="I40" s="22">
        <f t="shared" si="0"/>
        <v>274</v>
      </c>
      <c r="J40" s="22">
        <v>500</v>
      </c>
      <c r="K40" s="23">
        <f t="shared" si="1"/>
        <v>0.548</v>
      </c>
      <c r="L40" s="24">
        <f t="shared" si="2"/>
        <v>0.452</v>
      </c>
    </row>
    <row r="41" spans="1:12">
      <c r="A41" s="19" t="s">
        <v>98</v>
      </c>
      <c r="B41" s="19" t="s">
        <v>99</v>
      </c>
      <c r="C41" s="19" t="s">
        <v>48</v>
      </c>
      <c r="D41" s="20">
        <v>37</v>
      </c>
      <c r="E41" s="20">
        <v>60</v>
      </c>
      <c r="F41" s="20">
        <v>44</v>
      </c>
      <c r="G41" s="20">
        <v>61</v>
      </c>
      <c r="H41" s="20">
        <v>30</v>
      </c>
      <c r="I41" s="22">
        <f t="shared" si="0"/>
        <v>232</v>
      </c>
      <c r="J41" s="22">
        <v>500</v>
      </c>
      <c r="K41" s="23">
        <f t="shared" si="1"/>
        <v>0.464</v>
      </c>
      <c r="L41" s="24">
        <f t="shared" si="2"/>
        <v>0.536</v>
      </c>
    </row>
    <row r="42" spans="1:12">
      <c r="A42" s="19" t="s">
        <v>100</v>
      </c>
      <c r="B42" s="19" t="s">
        <v>101</v>
      </c>
      <c r="C42" s="19" t="s">
        <v>19</v>
      </c>
      <c r="D42" s="20">
        <v>16</v>
      </c>
      <c r="E42" s="20">
        <v>46</v>
      </c>
      <c r="F42" s="20">
        <v>33</v>
      </c>
      <c r="G42" s="20">
        <v>54</v>
      </c>
      <c r="H42" s="20">
        <v>58</v>
      </c>
      <c r="I42" s="22">
        <f t="shared" si="0"/>
        <v>207</v>
      </c>
      <c r="J42" s="22">
        <v>500</v>
      </c>
      <c r="K42" s="23">
        <f t="shared" si="1"/>
        <v>0.414</v>
      </c>
      <c r="L42" s="24">
        <f t="shared" si="2"/>
        <v>0.586</v>
      </c>
    </row>
    <row r="43" spans="1:12">
      <c r="A43" s="19" t="s">
        <v>102</v>
      </c>
      <c r="B43" s="19" t="s">
        <v>103</v>
      </c>
      <c r="C43" s="19" t="s">
        <v>19</v>
      </c>
      <c r="D43" s="20">
        <v>47</v>
      </c>
      <c r="E43" s="20">
        <v>97</v>
      </c>
      <c r="F43" s="20">
        <v>74</v>
      </c>
      <c r="G43" s="20">
        <v>97</v>
      </c>
      <c r="H43" s="20">
        <v>56</v>
      </c>
      <c r="I43" s="22">
        <f t="shared" si="0"/>
        <v>371</v>
      </c>
      <c r="J43" s="22">
        <v>500</v>
      </c>
      <c r="K43" s="23">
        <f t="shared" si="1"/>
        <v>0.742</v>
      </c>
      <c r="L43" s="24">
        <f t="shared" si="2"/>
        <v>0.258</v>
      </c>
    </row>
    <row r="44" spans="1:12">
      <c r="A44" s="19" t="s">
        <v>104</v>
      </c>
      <c r="B44" s="19" t="s">
        <v>105</v>
      </c>
      <c r="C44" s="19" t="s">
        <v>53</v>
      </c>
      <c r="D44" s="20">
        <v>86</v>
      </c>
      <c r="E44" s="20">
        <v>22</v>
      </c>
      <c r="F44" s="20">
        <v>10</v>
      </c>
      <c r="G44" s="20">
        <v>60</v>
      </c>
      <c r="H44" s="20">
        <v>28</v>
      </c>
      <c r="I44" s="22">
        <f t="shared" si="0"/>
        <v>206</v>
      </c>
      <c r="J44" s="22">
        <v>500</v>
      </c>
      <c r="K44" s="23">
        <f t="shared" si="1"/>
        <v>0.412</v>
      </c>
      <c r="L44" s="24">
        <f t="shared" si="2"/>
        <v>0.588</v>
      </c>
    </row>
    <row r="45" spans="1:12">
      <c r="A45" s="19" t="s">
        <v>106</v>
      </c>
      <c r="B45" s="19" t="s">
        <v>107</v>
      </c>
      <c r="C45" s="19" t="s">
        <v>32</v>
      </c>
      <c r="D45" s="20">
        <v>74</v>
      </c>
      <c r="E45" s="20">
        <v>17</v>
      </c>
      <c r="F45" s="20">
        <v>45</v>
      </c>
      <c r="G45" s="20">
        <v>64</v>
      </c>
      <c r="H45" s="20">
        <v>13</v>
      </c>
      <c r="I45" s="22">
        <f t="shared" si="0"/>
        <v>213</v>
      </c>
      <c r="J45" s="22">
        <v>500</v>
      </c>
      <c r="K45" s="23">
        <f t="shared" si="1"/>
        <v>0.426</v>
      </c>
      <c r="L45" s="24">
        <f t="shared" si="2"/>
        <v>0.574</v>
      </c>
    </row>
    <row r="46" spans="1:12">
      <c r="A46" s="19" t="s">
        <v>108</v>
      </c>
      <c r="B46" s="19" t="s">
        <v>109</v>
      </c>
      <c r="C46" s="19" t="s">
        <v>27</v>
      </c>
      <c r="D46" s="20">
        <v>80</v>
      </c>
      <c r="E46" s="20">
        <v>51</v>
      </c>
      <c r="F46" s="20">
        <v>15</v>
      </c>
      <c r="G46" s="20">
        <v>97</v>
      </c>
      <c r="H46" s="20">
        <v>42</v>
      </c>
      <c r="I46" s="22">
        <f t="shared" si="0"/>
        <v>285</v>
      </c>
      <c r="J46" s="22">
        <v>500</v>
      </c>
      <c r="K46" s="23">
        <f t="shared" si="1"/>
        <v>0.57</v>
      </c>
      <c r="L46" s="24">
        <f t="shared" si="2"/>
        <v>0.43</v>
      </c>
    </row>
    <row r="47" spans="1:12">
      <c r="A47" s="19" t="s">
        <v>110</v>
      </c>
      <c r="B47" s="19" t="s">
        <v>111</v>
      </c>
      <c r="C47" s="19" t="s">
        <v>27</v>
      </c>
      <c r="D47" s="20">
        <v>49</v>
      </c>
      <c r="E47" s="20">
        <v>82</v>
      </c>
      <c r="F47" s="20">
        <v>95</v>
      </c>
      <c r="G47" s="20">
        <v>46</v>
      </c>
      <c r="H47" s="20">
        <v>78</v>
      </c>
      <c r="I47" s="22">
        <f t="shared" si="0"/>
        <v>350</v>
      </c>
      <c r="J47" s="22">
        <v>500</v>
      </c>
      <c r="K47" s="23">
        <f t="shared" si="1"/>
        <v>0.7</v>
      </c>
      <c r="L47" s="24">
        <f t="shared" si="2"/>
        <v>0.3</v>
      </c>
    </row>
    <row r="48" spans="1:12">
      <c r="A48" s="19" t="s">
        <v>112</v>
      </c>
      <c r="B48" s="19" t="s">
        <v>113</v>
      </c>
      <c r="C48" s="19" t="s">
        <v>53</v>
      </c>
      <c r="D48" s="20">
        <v>17</v>
      </c>
      <c r="E48" s="20">
        <v>88</v>
      </c>
      <c r="F48" s="20">
        <v>12</v>
      </c>
      <c r="G48" s="20">
        <v>54</v>
      </c>
      <c r="H48" s="20">
        <v>21</v>
      </c>
      <c r="I48" s="22">
        <f t="shared" si="0"/>
        <v>192</v>
      </c>
      <c r="J48" s="22">
        <v>500</v>
      </c>
      <c r="K48" s="23">
        <f t="shared" si="1"/>
        <v>0.384</v>
      </c>
      <c r="L48" s="24">
        <f t="shared" si="2"/>
        <v>0.616</v>
      </c>
    </row>
    <row r="49" spans="1:12">
      <c r="A49" s="19" t="s">
        <v>114</v>
      </c>
      <c r="B49" s="19" t="s">
        <v>115</v>
      </c>
      <c r="C49" s="19" t="s">
        <v>48</v>
      </c>
      <c r="D49" s="20">
        <v>74</v>
      </c>
      <c r="E49" s="20">
        <v>16</v>
      </c>
      <c r="F49" s="20">
        <v>74</v>
      </c>
      <c r="G49" s="20">
        <v>36</v>
      </c>
      <c r="H49" s="20">
        <v>33</v>
      </c>
      <c r="I49" s="22">
        <f t="shared" si="0"/>
        <v>233</v>
      </c>
      <c r="J49" s="22">
        <v>500</v>
      </c>
      <c r="K49" s="23">
        <f t="shared" si="1"/>
        <v>0.466</v>
      </c>
      <c r="L49" s="24">
        <f t="shared" si="2"/>
        <v>0.534</v>
      </c>
    </row>
    <row r="50" spans="1:12">
      <c r="A50" s="19" t="s">
        <v>116</v>
      </c>
      <c r="B50" s="19" t="s">
        <v>117</v>
      </c>
      <c r="C50" s="19" t="s">
        <v>14</v>
      </c>
      <c r="D50" s="20">
        <v>73</v>
      </c>
      <c r="E50" s="20">
        <v>72</v>
      </c>
      <c r="F50" s="20">
        <v>38</v>
      </c>
      <c r="G50" s="20">
        <v>19</v>
      </c>
      <c r="H50" s="20">
        <v>90</v>
      </c>
      <c r="I50" s="22">
        <f t="shared" si="0"/>
        <v>292</v>
      </c>
      <c r="J50" s="22">
        <v>500</v>
      </c>
      <c r="K50" s="23">
        <f t="shared" si="1"/>
        <v>0.584</v>
      </c>
      <c r="L50" s="24">
        <f t="shared" si="2"/>
        <v>0.416</v>
      </c>
    </row>
    <row r="51" spans="1:12">
      <c r="A51" s="19" t="s">
        <v>118</v>
      </c>
      <c r="B51" s="19" t="s">
        <v>119</v>
      </c>
      <c r="C51" s="19" t="s">
        <v>19</v>
      </c>
      <c r="D51" s="20">
        <v>17</v>
      </c>
      <c r="E51" s="20">
        <v>84</v>
      </c>
      <c r="F51" s="20">
        <v>90</v>
      </c>
      <c r="G51" s="20">
        <v>77</v>
      </c>
      <c r="H51" s="20">
        <v>72</v>
      </c>
      <c r="I51" s="22">
        <f t="shared" si="0"/>
        <v>340</v>
      </c>
      <c r="J51" s="22">
        <v>500</v>
      </c>
      <c r="K51" s="23">
        <f t="shared" si="1"/>
        <v>0.68</v>
      </c>
      <c r="L51" s="24">
        <f t="shared" si="2"/>
        <v>0.32</v>
      </c>
    </row>
    <row r="52" spans="1:12">
      <c r="A52" s="19" t="s">
        <v>120</v>
      </c>
      <c r="B52" s="19" t="s">
        <v>121</v>
      </c>
      <c r="C52" s="19" t="s">
        <v>14</v>
      </c>
      <c r="D52" s="20">
        <v>52</v>
      </c>
      <c r="E52" s="20">
        <v>36</v>
      </c>
      <c r="F52" s="20">
        <v>84</v>
      </c>
      <c r="G52" s="20">
        <v>41</v>
      </c>
      <c r="H52" s="20">
        <v>57</v>
      </c>
      <c r="I52" s="22">
        <f t="shared" si="0"/>
        <v>270</v>
      </c>
      <c r="J52" s="22">
        <v>500</v>
      </c>
      <c r="K52" s="23">
        <f t="shared" si="1"/>
        <v>0.54</v>
      </c>
      <c r="L52" s="24">
        <f t="shared" si="2"/>
        <v>0.46</v>
      </c>
    </row>
    <row r="53" spans="1:12">
      <c r="A53" s="19" t="s">
        <v>122</v>
      </c>
      <c r="B53" s="19" t="s">
        <v>123</v>
      </c>
      <c r="C53" s="19" t="s">
        <v>14</v>
      </c>
      <c r="D53" s="20">
        <v>65</v>
      </c>
      <c r="E53" s="20">
        <v>67</v>
      </c>
      <c r="F53" s="20">
        <v>72</v>
      </c>
      <c r="G53" s="20">
        <v>22</v>
      </c>
      <c r="H53" s="20">
        <v>23</v>
      </c>
      <c r="I53" s="22">
        <f t="shared" si="0"/>
        <v>249</v>
      </c>
      <c r="J53" s="22">
        <v>500</v>
      </c>
      <c r="K53" s="23">
        <f t="shared" si="1"/>
        <v>0.498</v>
      </c>
      <c r="L53" s="24">
        <f t="shared" si="2"/>
        <v>0.502</v>
      </c>
    </row>
    <row r="54" spans="1:12">
      <c r="A54" s="19" t="s">
        <v>124</v>
      </c>
      <c r="B54" s="19" t="s">
        <v>125</v>
      </c>
      <c r="C54" s="19" t="s">
        <v>45</v>
      </c>
      <c r="D54" s="20">
        <v>88</v>
      </c>
      <c r="E54" s="20">
        <v>39</v>
      </c>
      <c r="F54" s="20">
        <v>25</v>
      </c>
      <c r="G54" s="20">
        <v>99</v>
      </c>
      <c r="H54" s="20">
        <v>71</v>
      </c>
      <c r="I54" s="22">
        <f t="shared" si="0"/>
        <v>322</v>
      </c>
      <c r="J54" s="22">
        <v>500</v>
      </c>
      <c r="K54" s="23">
        <f t="shared" si="1"/>
        <v>0.644</v>
      </c>
      <c r="L54" s="24">
        <f t="shared" si="2"/>
        <v>0.356</v>
      </c>
    </row>
    <row r="55" spans="1:12">
      <c r="A55" s="19" t="s">
        <v>126</v>
      </c>
      <c r="B55" s="19" t="s">
        <v>127</v>
      </c>
      <c r="C55" s="19" t="s">
        <v>24</v>
      </c>
      <c r="D55" s="20">
        <v>23</v>
      </c>
      <c r="E55" s="20">
        <v>14</v>
      </c>
      <c r="F55" s="20">
        <v>15</v>
      </c>
      <c r="G55" s="20">
        <v>58</v>
      </c>
      <c r="H55" s="20">
        <v>79</v>
      </c>
      <c r="I55" s="22">
        <f t="shared" si="0"/>
        <v>189</v>
      </c>
      <c r="J55" s="22">
        <v>500</v>
      </c>
      <c r="K55" s="23">
        <f t="shared" si="1"/>
        <v>0.378</v>
      </c>
      <c r="L55" s="24">
        <f t="shared" si="2"/>
        <v>0.622</v>
      </c>
    </row>
    <row r="56" spans="1:12">
      <c r="A56" s="19" t="s">
        <v>128</v>
      </c>
      <c r="B56" s="19" t="s">
        <v>129</v>
      </c>
      <c r="C56" s="19" t="s">
        <v>27</v>
      </c>
      <c r="D56" s="20">
        <v>15</v>
      </c>
      <c r="E56" s="20">
        <v>67</v>
      </c>
      <c r="F56" s="20">
        <v>48</v>
      </c>
      <c r="G56" s="20">
        <v>95</v>
      </c>
      <c r="H56" s="20">
        <v>35</v>
      </c>
      <c r="I56" s="22">
        <f t="shared" si="0"/>
        <v>260</v>
      </c>
      <c r="J56" s="22">
        <v>500</v>
      </c>
      <c r="K56" s="23">
        <f t="shared" si="1"/>
        <v>0.52</v>
      </c>
      <c r="L56" s="24">
        <f t="shared" si="2"/>
        <v>0.48</v>
      </c>
    </row>
    <row r="57" spans="1:12">
      <c r="A57" s="19" t="s">
        <v>130</v>
      </c>
      <c r="B57" s="19" t="s">
        <v>131</v>
      </c>
      <c r="C57" s="19" t="s">
        <v>32</v>
      </c>
      <c r="D57" s="20">
        <v>18</v>
      </c>
      <c r="E57" s="20">
        <v>35</v>
      </c>
      <c r="F57" s="20">
        <v>82</v>
      </c>
      <c r="G57" s="20">
        <v>31</v>
      </c>
      <c r="H57" s="20">
        <v>26</v>
      </c>
      <c r="I57" s="22">
        <f t="shared" si="0"/>
        <v>192</v>
      </c>
      <c r="J57" s="22">
        <v>500</v>
      </c>
      <c r="K57" s="23">
        <f t="shared" si="1"/>
        <v>0.384</v>
      </c>
      <c r="L57" s="24">
        <f t="shared" si="2"/>
        <v>0.616</v>
      </c>
    </row>
    <row r="58" spans="1:12">
      <c r="A58" s="19" t="s">
        <v>132</v>
      </c>
      <c r="B58" s="19" t="s">
        <v>133</v>
      </c>
      <c r="C58" s="19" t="s">
        <v>45</v>
      </c>
      <c r="D58" s="20">
        <v>57</v>
      </c>
      <c r="E58" s="20">
        <v>60</v>
      </c>
      <c r="F58" s="20">
        <v>42</v>
      </c>
      <c r="G58" s="20">
        <v>81</v>
      </c>
      <c r="H58" s="20">
        <v>44</v>
      </c>
      <c r="I58" s="22">
        <f t="shared" si="0"/>
        <v>284</v>
      </c>
      <c r="J58" s="22">
        <v>500</v>
      </c>
      <c r="K58" s="23">
        <f t="shared" si="1"/>
        <v>0.568</v>
      </c>
      <c r="L58" s="24">
        <f t="shared" si="2"/>
        <v>0.432</v>
      </c>
    </row>
    <row r="59" spans="1:12">
      <c r="A59" s="19" t="s">
        <v>134</v>
      </c>
      <c r="B59" s="19" t="s">
        <v>135</v>
      </c>
      <c r="C59" s="19" t="s">
        <v>32</v>
      </c>
      <c r="D59" s="20">
        <v>34</v>
      </c>
      <c r="E59" s="20">
        <v>97</v>
      </c>
      <c r="F59" s="20">
        <v>66</v>
      </c>
      <c r="G59" s="20">
        <v>45</v>
      </c>
      <c r="H59" s="20">
        <v>50</v>
      </c>
      <c r="I59" s="22">
        <f t="shared" si="0"/>
        <v>292</v>
      </c>
      <c r="J59" s="22">
        <v>500</v>
      </c>
      <c r="K59" s="23">
        <f t="shared" si="1"/>
        <v>0.584</v>
      </c>
      <c r="L59" s="24">
        <f t="shared" si="2"/>
        <v>0.416</v>
      </c>
    </row>
    <row r="60" spans="1:12">
      <c r="A60" s="19" t="s">
        <v>136</v>
      </c>
      <c r="B60" s="19" t="s">
        <v>137</v>
      </c>
      <c r="C60" s="19" t="s">
        <v>19</v>
      </c>
      <c r="D60" s="20">
        <v>83</v>
      </c>
      <c r="E60" s="20">
        <v>12</v>
      </c>
      <c r="F60" s="20">
        <v>70</v>
      </c>
      <c r="G60" s="20">
        <v>83</v>
      </c>
      <c r="H60" s="20">
        <v>52</v>
      </c>
      <c r="I60" s="22">
        <f t="shared" si="0"/>
        <v>300</v>
      </c>
      <c r="J60" s="22">
        <v>500</v>
      </c>
      <c r="K60" s="23">
        <f t="shared" si="1"/>
        <v>0.6</v>
      </c>
      <c r="L60" s="24">
        <f t="shared" si="2"/>
        <v>0.4</v>
      </c>
    </row>
    <row r="61" spans="1:12">
      <c r="A61" s="19" t="s">
        <v>138</v>
      </c>
      <c r="B61" s="19" t="s">
        <v>139</v>
      </c>
      <c r="C61" s="19" t="s">
        <v>19</v>
      </c>
      <c r="D61" s="20">
        <v>76</v>
      </c>
      <c r="E61" s="20">
        <v>55</v>
      </c>
      <c r="F61" s="20">
        <v>56</v>
      </c>
      <c r="G61" s="20">
        <v>16</v>
      </c>
      <c r="H61" s="20">
        <v>61</v>
      </c>
      <c r="I61" s="22">
        <f t="shared" si="0"/>
        <v>264</v>
      </c>
      <c r="J61" s="22">
        <v>500</v>
      </c>
      <c r="K61" s="23">
        <f t="shared" si="1"/>
        <v>0.528</v>
      </c>
      <c r="L61" s="24">
        <f t="shared" si="2"/>
        <v>0.472</v>
      </c>
    </row>
    <row r="62" spans="1:12">
      <c r="A62" s="19" t="s">
        <v>140</v>
      </c>
      <c r="B62" s="19" t="s">
        <v>141</v>
      </c>
      <c r="C62" s="19" t="s">
        <v>27</v>
      </c>
      <c r="D62" s="20">
        <v>40</v>
      </c>
      <c r="E62" s="20">
        <v>70</v>
      </c>
      <c r="F62" s="20">
        <v>19</v>
      </c>
      <c r="G62" s="20">
        <v>36</v>
      </c>
      <c r="H62" s="20">
        <v>52</v>
      </c>
      <c r="I62" s="22">
        <f t="shared" si="0"/>
        <v>217</v>
      </c>
      <c r="J62" s="22">
        <v>500</v>
      </c>
      <c r="K62" s="23">
        <f t="shared" si="1"/>
        <v>0.434</v>
      </c>
      <c r="L62" s="24">
        <f t="shared" si="2"/>
        <v>0.566</v>
      </c>
    </row>
    <row r="63" spans="1:12">
      <c r="A63" s="19" t="s">
        <v>142</v>
      </c>
      <c r="B63" s="19" t="s">
        <v>143</v>
      </c>
      <c r="C63" s="19" t="s">
        <v>14</v>
      </c>
      <c r="D63" s="20">
        <v>44</v>
      </c>
      <c r="E63" s="20">
        <v>60</v>
      </c>
      <c r="F63" s="20">
        <v>71</v>
      </c>
      <c r="G63" s="20">
        <v>34</v>
      </c>
      <c r="H63" s="20">
        <v>37</v>
      </c>
      <c r="I63" s="22">
        <f t="shared" si="0"/>
        <v>246</v>
      </c>
      <c r="J63" s="22">
        <v>500</v>
      </c>
      <c r="K63" s="23">
        <f t="shared" si="1"/>
        <v>0.492</v>
      </c>
      <c r="L63" s="24">
        <f t="shared" si="2"/>
        <v>0.508</v>
      </c>
    </row>
    <row r="64" spans="1:12">
      <c r="A64" s="19" t="s">
        <v>144</v>
      </c>
      <c r="B64" s="19" t="s">
        <v>145</v>
      </c>
      <c r="C64" s="19" t="s">
        <v>45</v>
      </c>
      <c r="D64" s="20">
        <v>43</v>
      </c>
      <c r="E64" s="20">
        <v>78</v>
      </c>
      <c r="F64" s="20">
        <v>15</v>
      </c>
      <c r="G64" s="20">
        <v>98</v>
      </c>
      <c r="H64" s="20">
        <v>33</v>
      </c>
      <c r="I64" s="22">
        <f t="shared" si="0"/>
        <v>267</v>
      </c>
      <c r="J64" s="22">
        <v>500</v>
      </c>
      <c r="K64" s="23">
        <f t="shared" si="1"/>
        <v>0.534</v>
      </c>
      <c r="L64" s="24">
        <f t="shared" si="2"/>
        <v>0.466</v>
      </c>
    </row>
    <row r="65" spans="1:12">
      <c r="A65" s="19" t="s">
        <v>146</v>
      </c>
      <c r="B65" s="19" t="s">
        <v>147</v>
      </c>
      <c r="C65" s="19" t="s">
        <v>53</v>
      </c>
      <c r="D65" s="20">
        <v>75</v>
      </c>
      <c r="E65" s="20">
        <v>75</v>
      </c>
      <c r="F65" s="20">
        <v>89</v>
      </c>
      <c r="G65" s="20">
        <v>97</v>
      </c>
      <c r="H65" s="20">
        <v>49</v>
      </c>
      <c r="I65" s="22">
        <f t="shared" si="0"/>
        <v>385</v>
      </c>
      <c r="J65" s="22">
        <v>500</v>
      </c>
      <c r="K65" s="23">
        <f t="shared" si="1"/>
        <v>0.77</v>
      </c>
      <c r="L65" s="24">
        <f t="shared" si="2"/>
        <v>0.23</v>
      </c>
    </row>
    <row r="66" spans="1:12">
      <c r="A66" s="19" t="s">
        <v>148</v>
      </c>
      <c r="B66" s="19" t="s">
        <v>149</v>
      </c>
      <c r="C66" s="19" t="s">
        <v>32</v>
      </c>
      <c r="D66" s="20">
        <v>74</v>
      </c>
      <c r="E66" s="20">
        <v>51</v>
      </c>
      <c r="F66" s="20">
        <v>97</v>
      </c>
      <c r="G66" s="20">
        <v>73</v>
      </c>
      <c r="H66" s="20">
        <v>33</v>
      </c>
      <c r="I66" s="22">
        <f t="shared" ref="I66:I129" si="3">SUM(D66:H66)</f>
        <v>328</v>
      </c>
      <c r="J66" s="22">
        <v>500</v>
      </c>
      <c r="K66" s="23">
        <f t="shared" ref="K66:K129" si="4">I66/J66</f>
        <v>0.656</v>
      </c>
      <c r="L66" s="24">
        <f t="shared" ref="L66:L129" si="5">100%-K66</f>
        <v>0.344</v>
      </c>
    </row>
    <row r="67" spans="1:12">
      <c r="A67" s="19" t="s">
        <v>150</v>
      </c>
      <c r="B67" s="19" t="s">
        <v>151</v>
      </c>
      <c r="C67" s="19" t="s">
        <v>24</v>
      </c>
      <c r="D67" s="20">
        <v>44</v>
      </c>
      <c r="E67" s="20">
        <v>36</v>
      </c>
      <c r="F67" s="20">
        <v>11</v>
      </c>
      <c r="G67" s="20">
        <v>45</v>
      </c>
      <c r="H67" s="20">
        <v>30</v>
      </c>
      <c r="I67" s="22">
        <f t="shared" si="3"/>
        <v>166</v>
      </c>
      <c r="J67" s="22">
        <v>500</v>
      </c>
      <c r="K67" s="23">
        <f t="shared" si="4"/>
        <v>0.332</v>
      </c>
      <c r="L67" s="24">
        <f t="shared" si="5"/>
        <v>0.668</v>
      </c>
    </row>
    <row r="68" spans="1:12">
      <c r="A68" s="19" t="s">
        <v>152</v>
      </c>
      <c r="B68" s="19" t="s">
        <v>153</v>
      </c>
      <c r="C68" s="19" t="s">
        <v>32</v>
      </c>
      <c r="D68" s="20">
        <v>87</v>
      </c>
      <c r="E68" s="20">
        <v>79</v>
      </c>
      <c r="F68" s="20">
        <v>46</v>
      </c>
      <c r="G68" s="20">
        <v>65</v>
      </c>
      <c r="H68" s="20">
        <v>65</v>
      </c>
      <c r="I68" s="22">
        <f t="shared" si="3"/>
        <v>342</v>
      </c>
      <c r="J68" s="22">
        <v>500</v>
      </c>
      <c r="K68" s="23">
        <f t="shared" si="4"/>
        <v>0.684</v>
      </c>
      <c r="L68" s="24">
        <f t="shared" si="5"/>
        <v>0.316</v>
      </c>
    </row>
    <row r="69" spans="1:12">
      <c r="A69" s="19" t="s">
        <v>154</v>
      </c>
      <c r="B69" s="19" t="s">
        <v>155</v>
      </c>
      <c r="C69" s="19" t="s">
        <v>32</v>
      </c>
      <c r="D69" s="20">
        <v>70</v>
      </c>
      <c r="E69" s="20">
        <v>52</v>
      </c>
      <c r="F69" s="20">
        <v>80</v>
      </c>
      <c r="G69" s="20">
        <v>43</v>
      </c>
      <c r="H69" s="20">
        <v>48</v>
      </c>
      <c r="I69" s="22">
        <f t="shared" si="3"/>
        <v>293</v>
      </c>
      <c r="J69" s="22">
        <v>500</v>
      </c>
      <c r="K69" s="23">
        <f t="shared" si="4"/>
        <v>0.586</v>
      </c>
      <c r="L69" s="24">
        <f t="shared" si="5"/>
        <v>0.414</v>
      </c>
    </row>
    <row r="70" spans="1:12">
      <c r="A70" s="19" t="s">
        <v>156</v>
      </c>
      <c r="B70" s="19" t="s">
        <v>157</v>
      </c>
      <c r="C70" s="19" t="s">
        <v>32</v>
      </c>
      <c r="D70" s="20">
        <v>45</v>
      </c>
      <c r="E70" s="20">
        <v>26</v>
      </c>
      <c r="F70" s="20">
        <v>27</v>
      </c>
      <c r="G70" s="20">
        <v>14</v>
      </c>
      <c r="H70" s="20">
        <v>59</v>
      </c>
      <c r="I70" s="22">
        <f t="shared" si="3"/>
        <v>171</v>
      </c>
      <c r="J70" s="22">
        <v>500</v>
      </c>
      <c r="K70" s="23">
        <f t="shared" si="4"/>
        <v>0.342</v>
      </c>
      <c r="L70" s="24">
        <f t="shared" si="5"/>
        <v>0.658</v>
      </c>
    </row>
    <row r="71" spans="1:12">
      <c r="A71" s="19" t="s">
        <v>158</v>
      </c>
      <c r="B71" s="19" t="s">
        <v>159</v>
      </c>
      <c r="C71" s="19" t="s">
        <v>45</v>
      </c>
      <c r="D71" s="20">
        <v>51</v>
      </c>
      <c r="E71" s="20">
        <v>26</v>
      </c>
      <c r="F71" s="20">
        <v>58</v>
      </c>
      <c r="G71" s="20">
        <v>83</v>
      </c>
      <c r="H71" s="20">
        <v>11</v>
      </c>
      <c r="I71" s="22">
        <f t="shared" si="3"/>
        <v>229</v>
      </c>
      <c r="J71" s="22">
        <v>500</v>
      </c>
      <c r="K71" s="23">
        <f t="shared" si="4"/>
        <v>0.458</v>
      </c>
      <c r="L71" s="24">
        <f t="shared" si="5"/>
        <v>0.542</v>
      </c>
    </row>
    <row r="72" spans="1:12">
      <c r="A72" s="19" t="s">
        <v>160</v>
      </c>
      <c r="B72" s="19" t="s">
        <v>161</v>
      </c>
      <c r="C72" s="19" t="s">
        <v>27</v>
      </c>
      <c r="D72" s="20">
        <v>68</v>
      </c>
      <c r="E72" s="20">
        <v>36</v>
      </c>
      <c r="F72" s="20">
        <v>15</v>
      </c>
      <c r="G72" s="20">
        <v>20</v>
      </c>
      <c r="H72" s="20">
        <v>17</v>
      </c>
      <c r="I72" s="22">
        <f t="shared" si="3"/>
        <v>156</v>
      </c>
      <c r="J72" s="22">
        <v>500</v>
      </c>
      <c r="K72" s="23">
        <f t="shared" si="4"/>
        <v>0.312</v>
      </c>
      <c r="L72" s="24">
        <f t="shared" si="5"/>
        <v>0.688</v>
      </c>
    </row>
    <row r="73" spans="1:12">
      <c r="A73" s="19" t="s">
        <v>162</v>
      </c>
      <c r="B73" s="19" t="s">
        <v>163</v>
      </c>
      <c r="C73" s="19" t="s">
        <v>32</v>
      </c>
      <c r="D73" s="20">
        <v>32</v>
      </c>
      <c r="E73" s="20">
        <v>74</v>
      </c>
      <c r="F73" s="20">
        <v>18</v>
      </c>
      <c r="G73" s="20">
        <v>33</v>
      </c>
      <c r="H73" s="20">
        <v>51</v>
      </c>
      <c r="I73" s="22">
        <f t="shared" si="3"/>
        <v>208</v>
      </c>
      <c r="J73" s="22">
        <v>500</v>
      </c>
      <c r="K73" s="23">
        <f t="shared" si="4"/>
        <v>0.416</v>
      </c>
      <c r="L73" s="24">
        <f t="shared" si="5"/>
        <v>0.584</v>
      </c>
    </row>
    <row r="74" spans="1:12">
      <c r="A74" s="19" t="s">
        <v>164</v>
      </c>
      <c r="B74" s="19" t="s">
        <v>165</v>
      </c>
      <c r="C74" s="19" t="s">
        <v>14</v>
      </c>
      <c r="D74" s="20">
        <v>41</v>
      </c>
      <c r="E74" s="20">
        <v>11</v>
      </c>
      <c r="F74" s="20">
        <v>46</v>
      </c>
      <c r="G74" s="20">
        <v>35</v>
      </c>
      <c r="H74" s="20">
        <v>10</v>
      </c>
      <c r="I74" s="22">
        <f t="shared" si="3"/>
        <v>143</v>
      </c>
      <c r="J74" s="22">
        <v>500</v>
      </c>
      <c r="K74" s="23">
        <f t="shared" si="4"/>
        <v>0.286</v>
      </c>
      <c r="L74" s="24">
        <f t="shared" si="5"/>
        <v>0.714</v>
      </c>
    </row>
    <row r="75" spans="1:12">
      <c r="A75" s="19" t="s">
        <v>166</v>
      </c>
      <c r="B75" s="19" t="s">
        <v>167</v>
      </c>
      <c r="C75" s="19" t="s">
        <v>45</v>
      </c>
      <c r="D75" s="20">
        <v>41</v>
      </c>
      <c r="E75" s="20">
        <v>17</v>
      </c>
      <c r="F75" s="20">
        <v>82</v>
      </c>
      <c r="G75" s="20">
        <v>75</v>
      </c>
      <c r="H75" s="20">
        <v>39</v>
      </c>
      <c r="I75" s="22">
        <f t="shared" si="3"/>
        <v>254</v>
      </c>
      <c r="J75" s="22">
        <v>500</v>
      </c>
      <c r="K75" s="23">
        <f t="shared" si="4"/>
        <v>0.508</v>
      </c>
      <c r="L75" s="24">
        <f t="shared" si="5"/>
        <v>0.492</v>
      </c>
    </row>
    <row r="76" spans="1:12">
      <c r="A76" s="19" t="s">
        <v>168</v>
      </c>
      <c r="B76" s="19" t="s">
        <v>169</v>
      </c>
      <c r="C76" s="19" t="s">
        <v>24</v>
      </c>
      <c r="D76" s="20">
        <v>12</v>
      </c>
      <c r="E76" s="20">
        <v>97</v>
      </c>
      <c r="F76" s="20">
        <v>45</v>
      </c>
      <c r="G76" s="20">
        <v>29</v>
      </c>
      <c r="H76" s="20">
        <v>41</v>
      </c>
      <c r="I76" s="22">
        <f t="shared" si="3"/>
        <v>224</v>
      </c>
      <c r="J76" s="22">
        <v>500</v>
      </c>
      <c r="K76" s="23">
        <f t="shared" si="4"/>
        <v>0.448</v>
      </c>
      <c r="L76" s="24">
        <f t="shared" si="5"/>
        <v>0.552</v>
      </c>
    </row>
    <row r="77" spans="1:12">
      <c r="A77" s="19" t="s">
        <v>170</v>
      </c>
      <c r="B77" s="19" t="s">
        <v>171</v>
      </c>
      <c r="C77" s="19" t="s">
        <v>19</v>
      </c>
      <c r="D77" s="20">
        <v>19</v>
      </c>
      <c r="E77" s="20">
        <v>72</v>
      </c>
      <c r="F77" s="20">
        <v>87</v>
      </c>
      <c r="G77" s="20">
        <v>82</v>
      </c>
      <c r="H77" s="20">
        <v>27</v>
      </c>
      <c r="I77" s="22">
        <f t="shared" si="3"/>
        <v>287</v>
      </c>
      <c r="J77" s="22">
        <v>500</v>
      </c>
      <c r="K77" s="23">
        <f t="shared" si="4"/>
        <v>0.574</v>
      </c>
      <c r="L77" s="24">
        <f t="shared" si="5"/>
        <v>0.426</v>
      </c>
    </row>
    <row r="78" spans="1:12">
      <c r="A78" s="19" t="s">
        <v>172</v>
      </c>
      <c r="B78" s="19" t="s">
        <v>173</v>
      </c>
      <c r="C78" s="19" t="s">
        <v>45</v>
      </c>
      <c r="D78" s="20">
        <v>98</v>
      </c>
      <c r="E78" s="20">
        <v>15</v>
      </c>
      <c r="F78" s="20">
        <v>72</v>
      </c>
      <c r="G78" s="20">
        <v>67</v>
      </c>
      <c r="H78" s="20">
        <v>34</v>
      </c>
      <c r="I78" s="22">
        <f t="shared" si="3"/>
        <v>286</v>
      </c>
      <c r="J78" s="22">
        <v>500</v>
      </c>
      <c r="K78" s="23">
        <f t="shared" si="4"/>
        <v>0.572</v>
      </c>
      <c r="L78" s="24">
        <f t="shared" si="5"/>
        <v>0.428</v>
      </c>
    </row>
    <row r="79" spans="1:12">
      <c r="A79" s="19" t="s">
        <v>174</v>
      </c>
      <c r="B79" s="19" t="s">
        <v>175</v>
      </c>
      <c r="C79" s="19" t="s">
        <v>32</v>
      </c>
      <c r="D79" s="20">
        <v>50</v>
      </c>
      <c r="E79" s="20">
        <v>44</v>
      </c>
      <c r="F79" s="20">
        <v>46</v>
      </c>
      <c r="G79" s="20">
        <v>13</v>
      </c>
      <c r="H79" s="20">
        <v>92</v>
      </c>
      <c r="I79" s="22">
        <f t="shared" si="3"/>
        <v>245</v>
      </c>
      <c r="J79" s="22">
        <v>500</v>
      </c>
      <c r="K79" s="23">
        <f t="shared" si="4"/>
        <v>0.49</v>
      </c>
      <c r="L79" s="24">
        <f t="shared" si="5"/>
        <v>0.51</v>
      </c>
    </row>
    <row r="80" spans="1:12">
      <c r="A80" s="19" t="s">
        <v>176</v>
      </c>
      <c r="B80" s="19" t="s">
        <v>177</v>
      </c>
      <c r="C80" s="19" t="s">
        <v>48</v>
      </c>
      <c r="D80" s="20">
        <v>40</v>
      </c>
      <c r="E80" s="20">
        <v>82</v>
      </c>
      <c r="F80" s="20">
        <v>72</v>
      </c>
      <c r="G80" s="20">
        <v>42</v>
      </c>
      <c r="H80" s="20">
        <v>45</v>
      </c>
      <c r="I80" s="22">
        <f t="shared" si="3"/>
        <v>281</v>
      </c>
      <c r="J80" s="22">
        <v>500</v>
      </c>
      <c r="K80" s="23">
        <f t="shared" si="4"/>
        <v>0.562</v>
      </c>
      <c r="L80" s="24">
        <f t="shared" si="5"/>
        <v>0.438</v>
      </c>
    </row>
    <row r="81" spans="1:12">
      <c r="A81" s="19" t="s">
        <v>178</v>
      </c>
      <c r="B81" s="19" t="s">
        <v>179</v>
      </c>
      <c r="C81" s="19" t="s">
        <v>32</v>
      </c>
      <c r="D81" s="20">
        <v>23</v>
      </c>
      <c r="E81" s="20">
        <v>83</v>
      </c>
      <c r="F81" s="20">
        <v>63</v>
      </c>
      <c r="G81" s="20">
        <v>65</v>
      </c>
      <c r="H81" s="20">
        <v>83</v>
      </c>
      <c r="I81" s="22">
        <f t="shared" si="3"/>
        <v>317</v>
      </c>
      <c r="J81" s="22">
        <v>500</v>
      </c>
      <c r="K81" s="23">
        <f t="shared" si="4"/>
        <v>0.634</v>
      </c>
      <c r="L81" s="24">
        <f t="shared" si="5"/>
        <v>0.366</v>
      </c>
    </row>
    <row r="82" spans="1:12">
      <c r="A82" s="19" t="s">
        <v>180</v>
      </c>
      <c r="B82" s="19" t="s">
        <v>181</v>
      </c>
      <c r="C82" s="19" t="s">
        <v>53</v>
      </c>
      <c r="D82" s="20">
        <v>71</v>
      </c>
      <c r="E82" s="20">
        <v>94</v>
      </c>
      <c r="F82" s="20">
        <v>45</v>
      </c>
      <c r="G82" s="20">
        <v>95</v>
      </c>
      <c r="H82" s="20">
        <v>46</v>
      </c>
      <c r="I82" s="22">
        <f t="shared" si="3"/>
        <v>351</v>
      </c>
      <c r="J82" s="22">
        <v>500</v>
      </c>
      <c r="K82" s="23">
        <f t="shared" si="4"/>
        <v>0.702</v>
      </c>
      <c r="L82" s="24">
        <f t="shared" si="5"/>
        <v>0.298</v>
      </c>
    </row>
    <row r="83" spans="1:12">
      <c r="A83" s="19" t="s">
        <v>182</v>
      </c>
      <c r="B83" s="19" t="s">
        <v>183</v>
      </c>
      <c r="C83" s="19" t="s">
        <v>14</v>
      </c>
      <c r="D83" s="20">
        <v>48</v>
      </c>
      <c r="E83" s="20">
        <v>49</v>
      </c>
      <c r="F83" s="20">
        <v>68</v>
      </c>
      <c r="G83" s="20">
        <v>23</v>
      </c>
      <c r="H83" s="20">
        <v>21</v>
      </c>
      <c r="I83" s="22">
        <f t="shared" si="3"/>
        <v>209</v>
      </c>
      <c r="J83" s="22">
        <v>500</v>
      </c>
      <c r="K83" s="23">
        <f t="shared" si="4"/>
        <v>0.418</v>
      </c>
      <c r="L83" s="24">
        <f t="shared" si="5"/>
        <v>0.582</v>
      </c>
    </row>
    <row r="84" spans="1:12">
      <c r="A84" s="19" t="s">
        <v>184</v>
      </c>
      <c r="B84" s="19" t="s">
        <v>185</v>
      </c>
      <c r="C84" s="19" t="s">
        <v>53</v>
      </c>
      <c r="D84" s="20">
        <v>77</v>
      </c>
      <c r="E84" s="20">
        <v>83</v>
      </c>
      <c r="F84" s="20">
        <v>64</v>
      </c>
      <c r="G84" s="20">
        <v>53</v>
      </c>
      <c r="H84" s="20">
        <v>13</v>
      </c>
      <c r="I84" s="22">
        <f t="shared" si="3"/>
        <v>290</v>
      </c>
      <c r="J84" s="22">
        <v>500</v>
      </c>
      <c r="K84" s="23">
        <f t="shared" si="4"/>
        <v>0.58</v>
      </c>
      <c r="L84" s="24">
        <f t="shared" si="5"/>
        <v>0.42</v>
      </c>
    </row>
    <row r="85" spans="1:12">
      <c r="A85" s="19" t="s">
        <v>186</v>
      </c>
      <c r="B85" s="19" t="s">
        <v>187</v>
      </c>
      <c r="C85" s="19" t="s">
        <v>24</v>
      </c>
      <c r="D85" s="20">
        <v>81</v>
      </c>
      <c r="E85" s="20">
        <v>63</v>
      </c>
      <c r="F85" s="20">
        <v>88</v>
      </c>
      <c r="G85" s="20">
        <v>89</v>
      </c>
      <c r="H85" s="20">
        <v>63</v>
      </c>
      <c r="I85" s="22">
        <f t="shared" si="3"/>
        <v>384</v>
      </c>
      <c r="J85" s="22">
        <v>500</v>
      </c>
      <c r="K85" s="23">
        <f t="shared" si="4"/>
        <v>0.768</v>
      </c>
      <c r="L85" s="24">
        <f t="shared" si="5"/>
        <v>0.232</v>
      </c>
    </row>
    <row r="86" spans="1:12">
      <c r="A86" s="19" t="s">
        <v>188</v>
      </c>
      <c r="B86" s="19" t="s">
        <v>189</v>
      </c>
      <c r="C86" s="19" t="s">
        <v>48</v>
      </c>
      <c r="D86" s="20">
        <v>39</v>
      </c>
      <c r="E86" s="20">
        <v>87</v>
      </c>
      <c r="F86" s="20">
        <v>62</v>
      </c>
      <c r="G86" s="20">
        <v>80</v>
      </c>
      <c r="H86" s="20">
        <v>81</v>
      </c>
      <c r="I86" s="22">
        <f t="shared" si="3"/>
        <v>349</v>
      </c>
      <c r="J86" s="22">
        <v>500</v>
      </c>
      <c r="K86" s="23">
        <f t="shared" si="4"/>
        <v>0.698</v>
      </c>
      <c r="L86" s="24">
        <f t="shared" si="5"/>
        <v>0.302</v>
      </c>
    </row>
    <row r="87" spans="1:12">
      <c r="A87" s="19" t="s">
        <v>190</v>
      </c>
      <c r="B87" s="19" t="s">
        <v>191</v>
      </c>
      <c r="C87" s="19" t="s">
        <v>32</v>
      </c>
      <c r="D87" s="20">
        <v>46</v>
      </c>
      <c r="E87" s="20">
        <v>19</v>
      </c>
      <c r="F87" s="20">
        <v>59</v>
      </c>
      <c r="G87" s="20">
        <v>58</v>
      </c>
      <c r="H87" s="20">
        <v>33</v>
      </c>
      <c r="I87" s="22">
        <f t="shared" si="3"/>
        <v>215</v>
      </c>
      <c r="J87" s="22">
        <v>500</v>
      </c>
      <c r="K87" s="23">
        <f t="shared" si="4"/>
        <v>0.43</v>
      </c>
      <c r="L87" s="24">
        <f t="shared" si="5"/>
        <v>0.57</v>
      </c>
    </row>
    <row r="88" spans="1:12">
      <c r="A88" s="19" t="s">
        <v>192</v>
      </c>
      <c r="B88" s="19" t="s">
        <v>193</v>
      </c>
      <c r="C88" s="19" t="s">
        <v>19</v>
      </c>
      <c r="D88" s="20">
        <v>34</v>
      </c>
      <c r="E88" s="20">
        <v>15</v>
      </c>
      <c r="F88" s="20">
        <v>43</v>
      </c>
      <c r="G88" s="20">
        <v>63</v>
      </c>
      <c r="H88" s="20">
        <v>54</v>
      </c>
      <c r="I88" s="22">
        <f t="shared" si="3"/>
        <v>209</v>
      </c>
      <c r="J88" s="22">
        <v>500</v>
      </c>
      <c r="K88" s="23">
        <f t="shared" si="4"/>
        <v>0.418</v>
      </c>
      <c r="L88" s="24">
        <f t="shared" si="5"/>
        <v>0.582</v>
      </c>
    </row>
    <row r="89" spans="1:12">
      <c r="A89" s="19" t="s">
        <v>194</v>
      </c>
      <c r="B89" s="19" t="s">
        <v>195</v>
      </c>
      <c r="C89" s="19" t="s">
        <v>24</v>
      </c>
      <c r="D89" s="20">
        <v>32</v>
      </c>
      <c r="E89" s="20">
        <v>79</v>
      </c>
      <c r="F89" s="20">
        <v>65</v>
      </c>
      <c r="G89" s="20">
        <v>57</v>
      </c>
      <c r="H89" s="20">
        <v>73</v>
      </c>
      <c r="I89" s="22">
        <f t="shared" si="3"/>
        <v>306</v>
      </c>
      <c r="J89" s="22">
        <v>500</v>
      </c>
      <c r="K89" s="23">
        <f t="shared" si="4"/>
        <v>0.612</v>
      </c>
      <c r="L89" s="24">
        <f t="shared" si="5"/>
        <v>0.388</v>
      </c>
    </row>
    <row r="90" spans="1:12">
      <c r="A90" s="19" t="s">
        <v>196</v>
      </c>
      <c r="B90" s="19" t="s">
        <v>197</v>
      </c>
      <c r="C90" s="19" t="s">
        <v>27</v>
      </c>
      <c r="D90" s="20">
        <v>72</v>
      </c>
      <c r="E90" s="20">
        <v>82</v>
      </c>
      <c r="F90" s="20">
        <v>58</v>
      </c>
      <c r="G90" s="20">
        <v>36</v>
      </c>
      <c r="H90" s="20">
        <v>33</v>
      </c>
      <c r="I90" s="22">
        <f t="shared" si="3"/>
        <v>281</v>
      </c>
      <c r="J90" s="22">
        <v>500</v>
      </c>
      <c r="K90" s="23">
        <f t="shared" si="4"/>
        <v>0.562</v>
      </c>
      <c r="L90" s="24">
        <f t="shared" si="5"/>
        <v>0.438</v>
      </c>
    </row>
    <row r="91" spans="1:12">
      <c r="A91" s="19" t="s">
        <v>198</v>
      </c>
      <c r="B91" s="19" t="s">
        <v>199</v>
      </c>
      <c r="C91" s="19" t="s">
        <v>32</v>
      </c>
      <c r="D91" s="20">
        <v>11</v>
      </c>
      <c r="E91" s="20">
        <v>69</v>
      </c>
      <c r="F91" s="20">
        <v>49</v>
      </c>
      <c r="G91" s="20">
        <v>90</v>
      </c>
      <c r="H91" s="20">
        <v>99</v>
      </c>
      <c r="I91" s="22">
        <f t="shared" si="3"/>
        <v>318</v>
      </c>
      <c r="J91" s="22">
        <v>500</v>
      </c>
      <c r="K91" s="23">
        <f t="shared" si="4"/>
        <v>0.636</v>
      </c>
      <c r="L91" s="24">
        <f t="shared" si="5"/>
        <v>0.364</v>
      </c>
    </row>
    <row r="92" spans="1:12">
      <c r="A92" s="19" t="s">
        <v>200</v>
      </c>
      <c r="B92" s="19" t="s">
        <v>201</v>
      </c>
      <c r="C92" s="19" t="s">
        <v>48</v>
      </c>
      <c r="D92" s="20">
        <v>80</v>
      </c>
      <c r="E92" s="20">
        <v>73</v>
      </c>
      <c r="F92" s="20">
        <v>21</v>
      </c>
      <c r="G92" s="20">
        <v>72</v>
      </c>
      <c r="H92" s="20">
        <v>54</v>
      </c>
      <c r="I92" s="22">
        <f t="shared" si="3"/>
        <v>300</v>
      </c>
      <c r="J92" s="22">
        <v>500</v>
      </c>
      <c r="K92" s="23">
        <f t="shared" si="4"/>
        <v>0.6</v>
      </c>
      <c r="L92" s="24">
        <f t="shared" si="5"/>
        <v>0.4</v>
      </c>
    </row>
    <row r="93" spans="1:12">
      <c r="A93" s="19" t="s">
        <v>202</v>
      </c>
      <c r="B93" s="19" t="s">
        <v>203</v>
      </c>
      <c r="C93" s="19" t="s">
        <v>45</v>
      </c>
      <c r="D93" s="20">
        <v>93</v>
      </c>
      <c r="E93" s="20">
        <v>42</v>
      </c>
      <c r="F93" s="20">
        <v>38</v>
      </c>
      <c r="G93" s="20">
        <v>98</v>
      </c>
      <c r="H93" s="20">
        <v>10</v>
      </c>
      <c r="I93" s="22">
        <f t="shared" si="3"/>
        <v>281</v>
      </c>
      <c r="J93" s="22">
        <v>500</v>
      </c>
      <c r="K93" s="23">
        <f t="shared" si="4"/>
        <v>0.562</v>
      </c>
      <c r="L93" s="24">
        <f t="shared" si="5"/>
        <v>0.438</v>
      </c>
    </row>
    <row r="94" spans="1:12">
      <c r="A94" s="19" t="s">
        <v>204</v>
      </c>
      <c r="B94" s="19" t="s">
        <v>205</v>
      </c>
      <c r="C94" s="19" t="s">
        <v>32</v>
      </c>
      <c r="D94" s="20">
        <v>18</v>
      </c>
      <c r="E94" s="20">
        <v>80</v>
      </c>
      <c r="F94" s="20">
        <v>20</v>
      </c>
      <c r="G94" s="20">
        <v>32</v>
      </c>
      <c r="H94" s="20">
        <v>95</v>
      </c>
      <c r="I94" s="22">
        <f t="shared" si="3"/>
        <v>245</v>
      </c>
      <c r="J94" s="22">
        <v>500</v>
      </c>
      <c r="K94" s="23">
        <f t="shared" si="4"/>
        <v>0.49</v>
      </c>
      <c r="L94" s="24">
        <f t="shared" si="5"/>
        <v>0.51</v>
      </c>
    </row>
    <row r="95" spans="1:12">
      <c r="A95" s="19" t="s">
        <v>206</v>
      </c>
      <c r="B95" s="19" t="s">
        <v>207</v>
      </c>
      <c r="C95" s="19" t="s">
        <v>19</v>
      </c>
      <c r="D95" s="20">
        <v>96</v>
      </c>
      <c r="E95" s="20">
        <v>14</v>
      </c>
      <c r="F95" s="20">
        <v>20</v>
      </c>
      <c r="G95" s="20">
        <v>31</v>
      </c>
      <c r="H95" s="20">
        <v>44</v>
      </c>
      <c r="I95" s="22">
        <f t="shared" si="3"/>
        <v>205</v>
      </c>
      <c r="J95" s="22">
        <v>500</v>
      </c>
      <c r="K95" s="23">
        <f t="shared" si="4"/>
        <v>0.41</v>
      </c>
      <c r="L95" s="24">
        <f t="shared" si="5"/>
        <v>0.59</v>
      </c>
    </row>
    <row r="96" spans="1:12">
      <c r="A96" s="19" t="s">
        <v>208</v>
      </c>
      <c r="B96" s="19" t="s">
        <v>209</v>
      </c>
      <c r="C96" s="19" t="s">
        <v>53</v>
      </c>
      <c r="D96" s="20">
        <v>37</v>
      </c>
      <c r="E96" s="20">
        <v>60</v>
      </c>
      <c r="F96" s="20">
        <v>50</v>
      </c>
      <c r="G96" s="20">
        <v>68</v>
      </c>
      <c r="H96" s="20">
        <v>19</v>
      </c>
      <c r="I96" s="22">
        <f t="shared" si="3"/>
        <v>234</v>
      </c>
      <c r="J96" s="22">
        <v>500</v>
      </c>
      <c r="K96" s="23">
        <f t="shared" si="4"/>
        <v>0.468</v>
      </c>
      <c r="L96" s="24">
        <f t="shared" si="5"/>
        <v>0.532</v>
      </c>
    </row>
    <row r="97" spans="1:12">
      <c r="A97" s="19" t="s">
        <v>210</v>
      </c>
      <c r="B97" s="19" t="s">
        <v>211</v>
      </c>
      <c r="C97" s="19" t="s">
        <v>53</v>
      </c>
      <c r="D97" s="20">
        <v>35</v>
      </c>
      <c r="E97" s="20">
        <v>79</v>
      </c>
      <c r="F97" s="20">
        <v>17</v>
      </c>
      <c r="G97" s="20">
        <v>85</v>
      </c>
      <c r="H97" s="20">
        <v>16</v>
      </c>
      <c r="I97" s="22">
        <f t="shared" si="3"/>
        <v>232</v>
      </c>
      <c r="J97" s="22">
        <v>500</v>
      </c>
      <c r="K97" s="23">
        <f t="shared" si="4"/>
        <v>0.464</v>
      </c>
      <c r="L97" s="24">
        <f t="shared" si="5"/>
        <v>0.536</v>
      </c>
    </row>
    <row r="98" spans="1:12">
      <c r="A98" s="19" t="s">
        <v>212</v>
      </c>
      <c r="B98" s="19" t="s">
        <v>213</v>
      </c>
      <c r="C98" s="19" t="s">
        <v>19</v>
      </c>
      <c r="D98" s="20">
        <v>31</v>
      </c>
      <c r="E98" s="20">
        <v>48</v>
      </c>
      <c r="F98" s="20">
        <v>56</v>
      </c>
      <c r="G98" s="20">
        <v>85</v>
      </c>
      <c r="H98" s="20">
        <v>25</v>
      </c>
      <c r="I98" s="22">
        <f t="shared" si="3"/>
        <v>245</v>
      </c>
      <c r="J98" s="22">
        <v>500</v>
      </c>
      <c r="K98" s="23">
        <f t="shared" si="4"/>
        <v>0.49</v>
      </c>
      <c r="L98" s="24">
        <f t="shared" si="5"/>
        <v>0.51</v>
      </c>
    </row>
    <row r="99" spans="1:12">
      <c r="A99" s="19" t="s">
        <v>214</v>
      </c>
      <c r="B99" s="19" t="s">
        <v>215</v>
      </c>
      <c r="C99" s="19" t="s">
        <v>24</v>
      </c>
      <c r="D99" s="20">
        <v>23</v>
      </c>
      <c r="E99" s="20">
        <v>83</v>
      </c>
      <c r="F99" s="20">
        <v>86</v>
      </c>
      <c r="G99" s="20">
        <v>69</v>
      </c>
      <c r="H99" s="20">
        <v>25</v>
      </c>
      <c r="I99" s="22">
        <f t="shared" si="3"/>
        <v>286</v>
      </c>
      <c r="J99" s="22">
        <v>500</v>
      </c>
      <c r="K99" s="23">
        <f t="shared" si="4"/>
        <v>0.572</v>
      </c>
      <c r="L99" s="24">
        <f t="shared" si="5"/>
        <v>0.428</v>
      </c>
    </row>
    <row r="100" spans="1:12">
      <c r="A100" s="19" t="s">
        <v>216</v>
      </c>
      <c r="B100" s="19" t="s">
        <v>217</v>
      </c>
      <c r="C100" s="19" t="s">
        <v>32</v>
      </c>
      <c r="D100" s="20">
        <v>17</v>
      </c>
      <c r="E100" s="20">
        <v>97</v>
      </c>
      <c r="F100" s="20">
        <v>81</v>
      </c>
      <c r="G100" s="20">
        <v>32</v>
      </c>
      <c r="H100" s="20">
        <v>76</v>
      </c>
      <c r="I100" s="22">
        <f t="shared" si="3"/>
        <v>303</v>
      </c>
      <c r="J100" s="22">
        <v>500</v>
      </c>
      <c r="K100" s="23">
        <f t="shared" si="4"/>
        <v>0.606</v>
      </c>
      <c r="L100" s="24">
        <f t="shared" si="5"/>
        <v>0.394</v>
      </c>
    </row>
    <row r="101" spans="1:12">
      <c r="A101" s="19" t="s">
        <v>218</v>
      </c>
      <c r="B101" s="19" t="s">
        <v>219</v>
      </c>
      <c r="C101" s="19" t="s">
        <v>48</v>
      </c>
      <c r="D101" s="20">
        <v>92</v>
      </c>
      <c r="E101" s="20">
        <v>45</v>
      </c>
      <c r="F101" s="20">
        <v>43</v>
      </c>
      <c r="G101" s="20">
        <v>91</v>
      </c>
      <c r="H101" s="20">
        <v>47</v>
      </c>
      <c r="I101" s="22">
        <f t="shared" si="3"/>
        <v>318</v>
      </c>
      <c r="J101" s="22">
        <v>500</v>
      </c>
      <c r="K101" s="23">
        <f t="shared" si="4"/>
        <v>0.636</v>
      </c>
      <c r="L101" s="24">
        <f t="shared" si="5"/>
        <v>0.364</v>
      </c>
    </row>
    <row r="102" spans="1:12">
      <c r="A102" s="19" t="s">
        <v>220</v>
      </c>
      <c r="B102" s="19" t="s">
        <v>221</v>
      </c>
      <c r="C102" s="19" t="s">
        <v>14</v>
      </c>
      <c r="D102" s="20">
        <v>49</v>
      </c>
      <c r="E102" s="20">
        <v>77</v>
      </c>
      <c r="F102" s="20">
        <v>18</v>
      </c>
      <c r="G102" s="20">
        <v>69</v>
      </c>
      <c r="H102" s="20">
        <v>55</v>
      </c>
      <c r="I102" s="22">
        <f t="shared" si="3"/>
        <v>268</v>
      </c>
      <c r="J102" s="22">
        <v>500</v>
      </c>
      <c r="K102" s="23">
        <f t="shared" si="4"/>
        <v>0.536</v>
      </c>
      <c r="L102" s="24">
        <f t="shared" si="5"/>
        <v>0.464</v>
      </c>
    </row>
    <row r="103" spans="1:12">
      <c r="A103" s="19" t="s">
        <v>222</v>
      </c>
      <c r="B103" s="19" t="s">
        <v>223</v>
      </c>
      <c r="C103" s="19" t="s">
        <v>27</v>
      </c>
      <c r="D103" s="20">
        <v>81</v>
      </c>
      <c r="E103" s="20">
        <v>88</v>
      </c>
      <c r="F103" s="20">
        <v>19</v>
      </c>
      <c r="G103" s="20">
        <v>95</v>
      </c>
      <c r="H103" s="20">
        <v>39</v>
      </c>
      <c r="I103" s="22">
        <f t="shared" si="3"/>
        <v>322</v>
      </c>
      <c r="J103" s="22">
        <v>500</v>
      </c>
      <c r="K103" s="23">
        <f t="shared" si="4"/>
        <v>0.644</v>
      </c>
      <c r="L103" s="24">
        <f t="shared" si="5"/>
        <v>0.356</v>
      </c>
    </row>
    <row r="104" spans="1:12">
      <c r="A104" s="19" t="s">
        <v>224</v>
      </c>
      <c r="B104" s="19" t="s">
        <v>225</v>
      </c>
      <c r="C104" s="19" t="s">
        <v>48</v>
      </c>
      <c r="D104" s="20">
        <v>55</v>
      </c>
      <c r="E104" s="20">
        <v>14</v>
      </c>
      <c r="F104" s="20">
        <v>41</v>
      </c>
      <c r="G104" s="20">
        <v>40</v>
      </c>
      <c r="H104" s="20">
        <v>70</v>
      </c>
      <c r="I104" s="22">
        <f t="shared" si="3"/>
        <v>220</v>
      </c>
      <c r="J104" s="22">
        <v>500</v>
      </c>
      <c r="K104" s="23">
        <f t="shared" si="4"/>
        <v>0.44</v>
      </c>
      <c r="L104" s="24">
        <f t="shared" si="5"/>
        <v>0.56</v>
      </c>
    </row>
    <row r="105" spans="1:12">
      <c r="A105" s="19" t="s">
        <v>226</v>
      </c>
      <c r="B105" s="19" t="s">
        <v>227</v>
      </c>
      <c r="C105" s="19" t="s">
        <v>24</v>
      </c>
      <c r="D105" s="20">
        <v>86</v>
      </c>
      <c r="E105" s="20">
        <v>13</v>
      </c>
      <c r="F105" s="20">
        <v>99</v>
      </c>
      <c r="G105" s="20">
        <v>25</v>
      </c>
      <c r="H105" s="20">
        <v>83</v>
      </c>
      <c r="I105" s="22">
        <f t="shared" si="3"/>
        <v>306</v>
      </c>
      <c r="J105" s="22">
        <v>500</v>
      </c>
      <c r="K105" s="23">
        <f t="shared" si="4"/>
        <v>0.612</v>
      </c>
      <c r="L105" s="24">
        <f t="shared" si="5"/>
        <v>0.388</v>
      </c>
    </row>
    <row r="106" spans="1:12">
      <c r="A106" s="19" t="s">
        <v>228</v>
      </c>
      <c r="B106" s="19" t="s">
        <v>229</v>
      </c>
      <c r="C106" s="19" t="s">
        <v>24</v>
      </c>
      <c r="D106" s="20">
        <v>88</v>
      </c>
      <c r="E106" s="20">
        <v>96</v>
      </c>
      <c r="F106" s="20">
        <v>16</v>
      </c>
      <c r="G106" s="20">
        <v>65</v>
      </c>
      <c r="H106" s="20">
        <v>86</v>
      </c>
      <c r="I106" s="22">
        <f t="shared" si="3"/>
        <v>351</v>
      </c>
      <c r="J106" s="22">
        <v>500</v>
      </c>
      <c r="K106" s="23">
        <f t="shared" si="4"/>
        <v>0.702</v>
      </c>
      <c r="L106" s="24">
        <f t="shared" si="5"/>
        <v>0.298</v>
      </c>
    </row>
    <row r="107" spans="1:12">
      <c r="A107" s="19" t="s">
        <v>230</v>
      </c>
      <c r="B107" s="19" t="s">
        <v>231</v>
      </c>
      <c r="C107" s="19" t="s">
        <v>48</v>
      </c>
      <c r="D107" s="20">
        <v>61</v>
      </c>
      <c r="E107" s="20">
        <v>73</v>
      </c>
      <c r="F107" s="20">
        <v>34</v>
      </c>
      <c r="G107" s="20">
        <v>30</v>
      </c>
      <c r="H107" s="20">
        <v>30</v>
      </c>
      <c r="I107" s="22">
        <f t="shared" si="3"/>
        <v>228</v>
      </c>
      <c r="J107" s="22">
        <v>500</v>
      </c>
      <c r="K107" s="23">
        <f t="shared" si="4"/>
        <v>0.456</v>
      </c>
      <c r="L107" s="24">
        <f t="shared" si="5"/>
        <v>0.544</v>
      </c>
    </row>
    <row r="108" spans="1:12">
      <c r="A108" s="19" t="s">
        <v>232</v>
      </c>
      <c r="B108" s="19" t="s">
        <v>233</v>
      </c>
      <c r="C108" s="19" t="s">
        <v>32</v>
      </c>
      <c r="D108" s="20">
        <v>61</v>
      </c>
      <c r="E108" s="20">
        <v>91</v>
      </c>
      <c r="F108" s="20">
        <v>53</v>
      </c>
      <c r="G108" s="20">
        <v>78</v>
      </c>
      <c r="H108" s="20">
        <v>91</v>
      </c>
      <c r="I108" s="22">
        <f t="shared" si="3"/>
        <v>374</v>
      </c>
      <c r="J108" s="22">
        <v>500</v>
      </c>
      <c r="K108" s="23">
        <f t="shared" si="4"/>
        <v>0.748</v>
      </c>
      <c r="L108" s="24">
        <f t="shared" si="5"/>
        <v>0.252</v>
      </c>
    </row>
    <row r="109" spans="1:12">
      <c r="A109" s="19" t="s">
        <v>234</v>
      </c>
      <c r="B109" s="19" t="s">
        <v>235</v>
      </c>
      <c r="C109" s="19" t="s">
        <v>24</v>
      </c>
      <c r="D109" s="20">
        <v>75</v>
      </c>
      <c r="E109" s="20">
        <v>53</v>
      </c>
      <c r="F109" s="20">
        <v>27</v>
      </c>
      <c r="G109" s="20">
        <v>26</v>
      </c>
      <c r="H109" s="20">
        <v>30</v>
      </c>
      <c r="I109" s="22">
        <f t="shared" si="3"/>
        <v>211</v>
      </c>
      <c r="J109" s="22">
        <v>500</v>
      </c>
      <c r="K109" s="23">
        <f t="shared" si="4"/>
        <v>0.422</v>
      </c>
      <c r="L109" s="24">
        <f t="shared" si="5"/>
        <v>0.578</v>
      </c>
    </row>
    <row r="110" spans="1:12">
      <c r="A110" s="19" t="s">
        <v>236</v>
      </c>
      <c r="B110" s="19" t="s">
        <v>237</v>
      </c>
      <c r="C110" s="19" t="s">
        <v>27</v>
      </c>
      <c r="D110" s="20">
        <v>24</v>
      </c>
      <c r="E110" s="20">
        <v>31</v>
      </c>
      <c r="F110" s="20">
        <v>41</v>
      </c>
      <c r="G110" s="20">
        <v>57</v>
      </c>
      <c r="H110" s="20">
        <v>83</v>
      </c>
      <c r="I110" s="22">
        <f t="shared" si="3"/>
        <v>236</v>
      </c>
      <c r="J110" s="22">
        <v>500</v>
      </c>
      <c r="K110" s="23">
        <f t="shared" si="4"/>
        <v>0.472</v>
      </c>
      <c r="L110" s="24">
        <f t="shared" si="5"/>
        <v>0.528</v>
      </c>
    </row>
    <row r="111" spans="1:12">
      <c r="A111" s="19" t="s">
        <v>238</v>
      </c>
      <c r="B111" s="19" t="s">
        <v>239</v>
      </c>
      <c r="C111" s="19" t="s">
        <v>32</v>
      </c>
      <c r="D111" s="20">
        <v>83</v>
      </c>
      <c r="E111" s="20">
        <v>62</v>
      </c>
      <c r="F111" s="20">
        <v>32</v>
      </c>
      <c r="G111" s="20">
        <v>83</v>
      </c>
      <c r="H111" s="20">
        <v>95</v>
      </c>
      <c r="I111" s="22">
        <f t="shared" si="3"/>
        <v>355</v>
      </c>
      <c r="J111" s="22">
        <v>500</v>
      </c>
      <c r="K111" s="23">
        <f t="shared" si="4"/>
        <v>0.71</v>
      </c>
      <c r="L111" s="24">
        <f t="shared" si="5"/>
        <v>0.29</v>
      </c>
    </row>
    <row r="112" spans="1:12">
      <c r="A112" s="19" t="s">
        <v>240</v>
      </c>
      <c r="B112" s="19" t="s">
        <v>241</v>
      </c>
      <c r="C112" s="19" t="s">
        <v>48</v>
      </c>
      <c r="D112" s="20">
        <v>39</v>
      </c>
      <c r="E112" s="20">
        <v>52</v>
      </c>
      <c r="F112" s="20">
        <v>72</v>
      </c>
      <c r="G112" s="20">
        <v>99</v>
      </c>
      <c r="H112" s="20">
        <v>58</v>
      </c>
      <c r="I112" s="22">
        <f t="shared" si="3"/>
        <v>320</v>
      </c>
      <c r="J112" s="22">
        <v>500</v>
      </c>
      <c r="K112" s="23">
        <f t="shared" si="4"/>
        <v>0.64</v>
      </c>
      <c r="L112" s="24">
        <f t="shared" si="5"/>
        <v>0.36</v>
      </c>
    </row>
    <row r="113" spans="1:12">
      <c r="A113" s="19" t="s">
        <v>242</v>
      </c>
      <c r="B113" s="19" t="s">
        <v>243</v>
      </c>
      <c r="C113" s="19" t="s">
        <v>24</v>
      </c>
      <c r="D113" s="20">
        <v>93</v>
      </c>
      <c r="E113" s="20">
        <v>74</v>
      </c>
      <c r="F113" s="20">
        <v>85</v>
      </c>
      <c r="G113" s="20">
        <v>47</v>
      </c>
      <c r="H113" s="20">
        <v>90</v>
      </c>
      <c r="I113" s="22">
        <f t="shared" si="3"/>
        <v>389</v>
      </c>
      <c r="J113" s="22">
        <v>500</v>
      </c>
      <c r="K113" s="23">
        <f t="shared" si="4"/>
        <v>0.778</v>
      </c>
      <c r="L113" s="24">
        <f t="shared" si="5"/>
        <v>0.222</v>
      </c>
    </row>
    <row r="114" spans="1:12">
      <c r="A114" s="19" t="s">
        <v>244</v>
      </c>
      <c r="B114" s="19" t="s">
        <v>245</v>
      </c>
      <c r="C114" s="19" t="s">
        <v>48</v>
      </c>
      <c r="D114" s="20">
        <v>43</v>
      </c>
      <c r="E114" s="20">
        <v>88</v>
      </c>
      <c r="F114" s="20">
        <v>35</v>
      </c>
      <c r="G114" s="20">
        <v>54</v>
      </c>
      <c r="H114" s="20">
        <v>91</v>
      </c>
      <c r="I114" s="22">
        <f t="shared" si="3"/>
        <v>311</v>
      </c>
      <c r="J114" s="22">
        <v>500</v>
      </c>
      <c r="K114" s="23">
        <f t="shared" si="4"/>
        <v>0.622</v>
      </c>
      <c r="L114" s="24">
        <f t="shared" si="5"/>
        <v>0.378</v>
      </c>
    </row>
    <row r="115" spans="1:12">
      <c r="A115" s="19" t="s">
        <v>246</v>
      </c>
      <c r="B115" s="19" t="s">
        <v>247</v>
      </c>
      <c r="C115" s="19" t="s">
        <v>48</v>
      </c>
      <c r="D115" s="20">
        <v>87</v>
      </c>
      <c r="E115" s="20">
        <v>15</v>
      </c>
      <c r="F115" s="20">
        <v>11</v>
      </c>
      <c r="G115" s="20">
        <v>42</v>
      </c>
      <c r="H115" s="20">
        <v>88</v>
      </c>
      <c r="I115" s="22">
        <f t="shared" si="3"/>
        <v>243</v>
      </c>
      <c r="J115" s="22">
        <v>500</v>
      </c>
      <c r="K115" s="23">
        <f t="shared" si="4"/>
        <v>0.486</v>
      </c>
      <c r="L115" s="24">
        <f t="shared" si="5"/>
        <v>0.514</v>
      </c>
    </row>
    <row r="116" spans="1:12">
      <c r="A116" s="19" t="s">
        <v>248</v>
      </c>
      <c r="B116" s="19" t="s">
        <v>249</v>
      </c>
      <c r="C116" s="19" t="s">
        <v>48</v>
      </c>
      <c r="D116" s="20">
        <v>45</v>
      </c>
      <c r="E116" s="20">
        <v>45</v>
      </c>
      <c r="F116" s="20">
        <v>61</v>
      </c>
      <c r="G116" s="20">
        <v>11</v>
      </c>
      <c r="H116" s="20">
        <v>52</v>
      </c>
      <c r="I116" s="22">
        <f t="shared" si="3"/>
        <v>214</v>
      </c>
      <c r="J116" s="22">
        <v>500</v>
      </c>
      <c r="K116" s="23">
        <f t="shared" si="4"/>
        <v>0.428</v>
      </c>
      <c r="L116" s="24">
        <f t="shared" si="5"/>
        <v>0.572</v>
      </c>
    </row>
    <row r="117" spans="1:12">
      <c r="A117" s="19" t="s">
        <v>250</v>
      </c>
      <c r="B117" s="19" t="s">
        <v>251</v>
      </c>
      <c r="C117" s="19" t="s">
        <v>27</v>
      </c>
      <c r="D117" s="20">
        <v>71</v>
      </c>
      <c r="E117" s="20">
        <v>42</v>
      </c>
      <c r="F117" s="20">
        <v>17</v>
      </c>
      <c r="G117" s="20">
        <v>57</v>
      </c>
      <c r="H117" s="20">
        <v>96</v>
      </c>
      <c r="I117" s="22">
        <f t="shared" si="3"/>
        <v>283</v>
      </c>
      <c r="J117" s="22">
        <v>500</v>
      </c>
      <c r="K117" s="23">
        <f t="shared" si="4"/>
        <v>0.566</v>
      </c>
      <c r="L117" s="24">
        <f t="shared" si="5"/>
        <v>0.434</v>
      </c>
    </row>
    <row r="118" spans="1:12">
      <c r="A118" s="19" t="s">
        <v>252</v>
      </c>
      <c r="B118" s="19" t="s">
        <v>253</v>
      </c>
      <c r="C118" s="19" t="s">
        <v>19</v>
      </c>
      <c r="D118" s="20">
        <v>26</v>
      </c>
      <c r="E118" s="20">
        <v>65</v>
      </c>
      <c r="F118" s="20">
        <v>17</v>
      </c>
      <c r="G118" s="20">
        <v>28</v>
      </c>
      <c r="H118" s="20">
        <v>30</v>
      </c>
      <c r="I118" s="22">
        <f t="shared" si="3"/>
        <v>166</v>
      </c>
      <c r="J118" s="22">
        <v>500</v>
      </c>
      <c r="K118" s="23">
        <f t="shared" si="4"/>
        <v>0.332</v>
      </c>
      <c r="L118" s="24">
        <f t="shared" si="5"/>
        <v>0.668</v>
      </c>
    </row>
    <row r="119" spans="1:12">
      <c r="A119" s="19" t="s">
        <v>254</v>
      </c>
      <c r="B119" s="19" t="s">
        <v>255</v>
      </c>
      <c r="C119" s="19" t="s">
        <v>53</v>
      </c>
      <c r="D119" s="20">
        <v>26</v>
      </c>
      <c r="E119" s="20">
        <v>61</v>
      </c>
      <c r="F119" s="20">
        <v>89</v>
      </c>
      <c r="G119" s="20">
        <v>71</v>
      </c>
      <c r="H119" s="20">
        <v>33</v>
      </c>
      <c r="I119" s="22">
        <f t="shared" si="3"/>
        <v>280</v>
      </c>
      <c r="J119" s="22">
        <v>500</v>
      </c>
      <c r="K119" s="23">
        <f t="shared" si="4"/>
        <v>0.56</v>
      </c>
      <c r="L119" s="24">
        <f t="shared" si="5"/>
        <v>0.44</v>
      </c>
    </row>
    <row r="120" spans="1:12">
      <c r="A120" s="19" t="s">
        <v>256</v>
      </c>
      <c r="B120" s="19" t="s">
        <v>257</v>
      </c>
      <c r="C120" s="19" t="s">
        <v>27</v>
      </c>
      <c r="D120" s="20">
        <v>93</v>
      </c>
      <c r="E120" s="20">
        <v>11</v>
      </c>
      <c r="F120" s="20">
        <v>93</v>
      </c>
      <c r="G120" s="20">
        <v>31</v>
      </c>
      <c r="H120" s="20">
        <v>30</v>
      </c>
      <c r="I120" s="22">
        <f t="shared" si="3"/>
        <v>258</v>
      </c>
      <c r="J120" s="22">
        <v>500</v>
      </c>
      <c r="K120" s="23">
        <f t="shared" si="4"/>
        <v>0.516</v>
      </c>
      <c r="L120" s="24">
        <f t="shared" si="5"/>
        <v>0.484</v>
      </c>
    </row>
    <row r="121" spans="1:12">
      <c r="A121" s="19" t="s">
        <v>258</v>
      </c>
      <c r="B121" s="19" t="s">
        <v>259</v>
      </c>
      <c r="C121" s="19" t="s">
        <v>19</v>
      </c>
      <c r="D121" s="20">
        <v>65</v>
      </c>
      <c r="E121" s="20">
        <v>92</v>
      </c>
      <c r="F121" s="20">
        <v>48</v>
      </c>
      <c r="G121" s="20">
        <v>96</v>
      </c>
      <c r="H121" s="20">
        <v>15</v>
      </c>
      <c r="I121" s="22">
        <f t="shared" si="3"/>
        <v>316</v>
      </c>
      <c r="J121" s="22">
        <v>500</v>
      </c>
      <c r="K121" s="23">
        <f t="shared" si="4"/>
        <v>0.632</v>
      </c>
      <c r="L121" s="24">
        <f t="shared" si="5"/>
        <v>0.368</v>
      </c>
    </row>
    <row r="122" spans="1:12">
      <c r="A122" s="19" t="s">
        <v>260</v>
      </c>
      <c r="B122" s="19" t="s">
        <v>261</v>
      </c>
      <c r="C122" s="19" t="s">
        <v>48</v>
      </c>
      <c r="D122" s="20">
        <v>91</v>
      </c>
      <c r="E122" s="20">
        <v>38</v>
      </c>
      <c r="F122" s="20">
        <v>33</v>
      </c>
      <c r="G122" s="20">
        <v>55</v>
      </c>
      <c r="H122" s="20">
        <v>83</v>
      </c>
      <c r="I122" s="22">
        <f t="shared" si="3"/>
        <v>300</v>
      </c>
      <c r="J122" s="22">
        <v>500</v>
      </c>
      <c r="K122" s="23">
        <f t="shared" si="4"/>
        <v>0.6</v>
      </c>
      <c r="L122" s="24">
        <f t="shared" si="5"/>
        <v>0.4</v>
      </c>
    </row>
    <row r="123" spans="1:12">
      <c r="A123" s="19" t="s">
        <v>262</v>
      </c>
      <c r="B123" s="19" t="s">
        <v>263</v>
      </c>
      <c r="C123" s="19" t="s">
        <v>45</v>
      </c>
      <c r="D123" s="20">
        <v>20</v>
      </c>
      <c r="E123" s="20">
        <v>94</v>
      </c>
      <c r="F123" s="20">
        <v>45</v>
      </c>
      <c r="G123" s="20">
        <v>70</v>
      </c>
      <c r="H123" s="20">
        <v>98</v>
      </c>
      <c r="I123" s="22">
        <f t="shared" si="3"/>
        <v>327</v>
      </c>
      <c r="J123" s="22">
        <v>500</v>
      </c>
      <c r="K123" s="23">
        <f t="shared" si="4"/>
        <v>0.654</v>
      </c>
      <c r="L123" s="24">
        <f t="shared" si="5"/>
        <v>0.346</v>
      </c>
    </row>
    <row r="124" spans="1:12">
      <c r="A124" s="19" t="s">
        <v>264</v>
      </c>
      <c r="B124" s="19" t="s">
        <v>265</v>
      </c>
      <c r="C124" s="19" t="s">
        <v>14</v>
      </c>
      <c r="D124" s="20">
        <v>25</v>
      </c>
      <c r="E124" s="20">
        <v>83</v>
      </c>
      <c r="F124" s="20">
        <v>26</v>
      </c>
      <c r="G124" s="20">
        <v>68</v>
      </c>
      <c r="H124" s="20">
        <v>22</v>
      </c>
      <c r="I124" s="22">
        <f t="shared" si="3"/>
        <v>224</v>
      </c>
      <c r="J124" s="22">
        <v>500</v>
      </c>
      <c r="K124" s="23">
        <f t="shared" si="4"/>
        <v>0.448</v>
      </c>
      <c r="L124" s="24">
        <f t="shared" si="5"/>
        <v>0.552</v>
      </c>
    </row>
    <row r="125" spans="1:12">
      <c r="A125" s="19" t="s">
        <v>266</v>
      </c>
      <c r="B125" s="19" t="s">
        <v>267</v>
      </c>
      <c r="C125" s="19" t="s">
        <v>27</v>
      </c>
      <c r="D125" s="20">
        <v>26</v>
      </c>
      <c r="E125" s="20">
        <v>16</v>
      </c>
      <c r="F125" s="20">
        <v>61</v>
      </c>
      <c r="G125" s="20">
        <v>92</v>
      </c>
      <c r="H125" s="20">
        <v>50</v>
      </c>
      <c r="I125" s="22">
        <f t="shared" si="3"/>
        <v>245</v>
      </c>
      <c r="J125" s="22">
        <v>500</v>
      </c>
      <c r="K125" s="23">
        <f t="shared" si="4"/>
        <v>0.49</v>
      </c>
      <c r="L125" s="24">
        <f t="shared" si="5"/>
        <v>0.51</v>
      </c>
    </row>
    <row r="126" spans="1:12">
      <c r="A126" s="19" t="s">
        <v>268</v>
      </c>
      <c r="B126" s="19" t="s">
        <v>269</v>
      </c>
      <c r="C126" s="19" t="s">
        <v>19</v>
      </c>
      <c r="D126" s="20">
        <v>31</v>
      </c>
      <c r="E126" s="20">
        <v>55</v>
      </c>
      <c r="F126" s="20">
        <v>75</v>
      </c>
      <c r="G126" s="20">
        <v>66</v>
      </c>
      <c r="H126" s="20">
        <v>75</v>
      </c>
      <c r="I126" s="22">
        <f t="shared" si="3"/>
        <v>302</v>
      </c>
      <c r="J126" s="22">
        <v>500</v>
      </c>
      <c r="K126" s="23">
        <f t="shared" si="4"/>
        <v>0.604</v>
      </c>
      <c r="L126" s="24">
        <f t="shared" si="5"/>
        <v>0.396</v>
      </c>
    </row>
    <row r="127" spans="1:12">
      <c r="A127" s="19" t="s">
        <v>270</v>
      </c>
      <c r="B127" s="19" t="s">
        <v>271</v>
      </c>
      <c r="C127" s="19" t="s">
        <v>53</v>
      </c>
      <c r="D127" s="20">
        <v>41</v>
      </c>
      <c r="E127" s="20">
        <v>66</v>
      </c>
      <c r="F127" s="20">
        <v>48</v>
      </c>
      <c r="G127" s="20">
        <v>70</v>
      </c>
      <c r="H127" s="20">
        <v>48</v>
      </c>
      <c r="I127" s="22">
        <f t="shared" si="3"/>
        <v>273</v>
      </c>
      <c r="J127" s="22">
        <v>500</v>
      </c>
      <c r="K127" s="23">
        <f t="shared" si="4"/>
        <v>0.546</v>
      </c>
      <c r="L127" s="24">
        <f t="shared" si="5"/>
        <v>0.454</v>
      </c>
    </row>
    <row r="128" spans="1:12">
      <c r="A128" s="19" t="s">
        <v>272</v>
      </c>
      <c r="B128" s="19" t="s">
        <v>273</v>
      </c>
      <c r="C128" s="19" t="s">
        <v>19</v>
      </c>
      <c r="D128" s="20">
        <v>60</v>
      </c>
      <c r="E128" s="20">
        <v>92</v>
      </c>
      <c r="F128" s="20">
        <v>32</v>
      </c>
      <c r="G128" s="20">
        <v>60</v>
      </c>
      <c r="H128" s="20">
        <v>78</v>
      </c>
      <c r="I128" s="22">
        <f t="shared" si="3"/>
        <v>322</v>
      </c>
      <c r="J128" s="22">
        <v>500</v>
      </c>
      <c r="K128" s="23">
        <f t="shared" si="4"/>
        <v>0.644</v>
      </c>
      <c r="L128" s="24">
        <f t="shared" si="5"/>
        <v>0.356</v>
      </c>
    </row>
    <row r="129" spans="1:12">
      <c r="A129" s="19" t="s">
        <v>274</v>
      </c>
      <c r="B129" s="19" t="s">
        <v>275</v>
      </c>
      <c r="C129" s="19" t="s">
        <v>48</v>
      </c>
      <c r="D129" s="20">
        <v>42</v>
      </c>
      <c r="E129" s="20">
        <v>24</v>
      </c>
      <c r="F129" s="20">
        <v>19</v>
      </c>
      <c r="G129" s="20">
        <v>82</v>
      </c>
      <c r="H129" s="20">
        <v>16</v>
      </c>
      <c r="I129" s="22">
        <f t="shared" si="3"/>
        <v>183</v>
      </c>
      <c r="J129" s="22">
        <v>500</v>
      </c>
      <c r="K129" s="23">
        <f t="shared" si="4"/>
        <v>0.366</v>
      </c>
      <c r="L129" s="24">
        <f t="shared" si="5"/>
        <v>0.634</v>
      </c>
    </row>
    <row r="130" spans="1:12">
      <c r="A130" s="19" t="s">
        <v>276</v>
      </c>
      <c r="B130" s="19" t="s">
        <v>277</v>
      </c>
      <c r="C130" s="19" t="s">
        <v>27</v>
      </c>
      <c r="D130" s="20">
        <v>26</v>
      </c>
      <c r="E130" s="20">
        <v>85</v>
      </c>
      <c r="F130" s="20">
        <v>75</v>
      </c>
      <c r="G130" s="20">
        <v>83</v>
      </c>
      <c r="H130" s="20">
        <v>37</v>
      </c>
      <c r="I130" s="22">
        <f t="shared" ref="I130:I142" si="6">SUM(D130:H130)</f>
        <v>306</v>
      </c>
      <c r="J130" s="22">
        <v>500</v>
      </c>
      <c r="K130" s="23">
        <f t="shared" ref="K130:K142" si="7">I130/J130</f>
        <v>0.612</v>
      </c>
      <c r="L130" s="24">
        <f t="shared" ref="L130:L142" si="8">100%-K130</f>
        <v>0.388</v>
      </c>
    </row>
    <row r="131" spans="1:12">
      <c r="A131" s="19" t="s">
        <v>278</v>
      </c>
      <c r="B131" s="19" t="s">
        <v>279</v>
      </c>
      <c r="C131" s="19" t="s">
        <v>32</v>
      </c>
      <c r="D131" s="20">
        <v>81</v>
      </c>
      <c r="E131" s="20">
        <v>68</v>
      </c>
      <c r="F131" s="20">
        <v>74</v>
      </c>
      <c r="G131" s="20">
        <v>72</v>
      </c>
      <c r="H131" s="20">
        <v>12</v>
      </c>
      <c r="I131" s="22">
        <f t="shared" si="6"/>
        <v>307</v>
      </c>
      <c r="J131" s="22">
        <v>500</v>
      </c>
      <c r="K131" s="23">
        <f t="shared" si="7"/>
        <v>0.614</v>
      </c>
      <c r="L131" s="24">
        <f t="shared" si="8"/>
        <v>0.386</v>
      </c>
    </row>
    <row r="132" spans="1:12">
      <c r="A132" s="19" t="s">
        <v>280</v>
      </c>
      <c r="B132" s="19" t="s">
        <v>281</v>
      </c>
      <c r="C132" s="19" t="s">
        <v>19</v>
      </c>
      <c r="D132" s="20">
        <v>90</v>
      </c>
      <c r="E132" s="20">
        <v>79</v>
      </c>
      <c r="F132" s="20">
        <v>99</v>
      </c>
      <c r="G132" s="20">
        <v>60</v>
      </c>
      <c r="H132" s="20">
        <v>27</v>
      </c>
      <c r="I132" s="22">
        <f t="shared" si="6"/>
        <v>355</v>
      </c>
      <c r="J132" s="22">
        <v>500</v>
      </c>
      <c r="K132" s="23">
        <f t="shared" si="7"/>
        <v>0.71</v>
      </c>
      <c r="L132" s="24">
        <f t="shared" si="8"/>
        <v>0.29</v>
      </c>
    </row>
    <row r="133" spans="1:12">
      <c r="A133" s="19" t="s">
        <v>282</v>
      </c>
      <c r="B133" s="19" t="s">
        <v>283</v>
      </c>
      <c r="C133" s="19" t="s">
        <v>19</v>
      </c>
      <c r="D133" s="20">
        <v>71</v>
      </c>
      <c r="E133" s="20">
        <v>21</v>
      </c>
      <c r="F133" s="20">
        <v>70</v>
      </c>
      <c r="G133" s="20">
        <v>53</v>
      </c>
      <c r="H133" s="20">
        <v>49</v>
      </c>
      <c r="I133" s="22">
        <f t="shared" si="6"/>
        <v>264</v>
      </c>
      <c r="J133" s="22">
        <v>500</v>
      </c>
      <c r="K133" s="23">
        <f t="shared" si="7"/>
        <v>0.528</v>
      </c>
      <c r="L133" s="24">
        <f t="shared" si="8"/>
        <v>0.472</v>
      </c>
    </row>
    <row r="134" spans="1:12">
      <c r="A134" s="19" t="s">
        <v>284</v>
      </c>
      <c r="B134" s="19" t="s">
        <v>285</v>
      </c>
      <c r="C134" s="19" t="s">
        <v>19</v>
      </c>
      <c r="D134" s="20">
        <v>86</v>
      </c>
      <c r="E134" s="20">
        <v>60</v>
      </c>
      <c r="F134" s="20">
        <v>59</v>
      </c>
      <c r="G134" s="20">
        <v>51</v>
      </c>
      <c r="H134" s="20">
        <v>90</v>
      </c>
      <c r="I134" s="22">
        <f t="shared" si="6"/>
        <v>346</v>
      </c>
      <c r="J134" s="22">
        <v>500</v>
      </c>
      <c r="K134" s="23">
        <f t="shared" si="7"/>
        <v>0.692</v>
      </c>
      <c r="L134" s="24">
        <f t="shared" si="8"/>
        <v>0.308</v>
      </c>
    </row>
    <row r="135" spans="1:12">
      <c r="A135" s="19" t="s">
        <v>286</v>
      </c>
      <c r="B135" s="19" t="s">
        <v>287</v>
      </c>
      <c r="C135" s="19" t="s">
        <v>53</v>
      </c>
      <c r="D135" s="20">
        <v>68</v>
      </c>
      <c r="E135" s="20">
        <v>61</v>
      </c>
      <c r="F135" s="20">
        <v>12</v>
      </c>
      <c r="G135" s="20">
        <v>41</v>
      </c>
      <c r="H135" s="20">
        <v>35</v>
      </c>
      <c r="I135" s="22">
        <f t="shared" si="6"/>
        <v>217</v>
      </c>
      <c r="J135" s="22">
        <v>500</v>
      </c>
      <c r="K135" s="23">
        <f t="shared" si="7"/>
        <v>0.434</v>
      </c>
      <c r="L135" s="24">
        <f t="shared" si="8"/>
        <v>0.566</v>
      </c>
    </row>
    <row r="136" spans="1:12">
      <c r="A136" s="19" t="s">
        <v>288</v>
      </c>
      <c r="B136" s="19" t="s">
        <v>289</v>
      </c>
      <c r="C136" s="19" t="s">
        <v>27</v>
      </c>
      <c r="D136" s="20">
        <v>65</v>
      </c>
      <c r="E136" s="20">
        <v>34</v>
      </c>
      <c r="F136" s="20">
        <v>15</v>
      </c>
      <c r="G136" s="20">
        <v>86</v>
      </c>
      <c r="H136" s="20">
        <v>71</v>
      </c>
      <c r="I136" s="22">
        <f t="shared" si="6"/>
        <v>271</v>
      </c>
      <c r="J136" s="22">
        <v>500</v>
      </c>
      <c r="K136" s="23">
        <f t="shared" si="7"/>
        <v>0.542</v>
      </c>
      <c r="L136" s="24">
        <f t="shared" si="8"/>
        <v>0.458</v>
      </c>
    </row>
    <row r="137" spans="1:12">
      <c r="A137" s="19" t="s">
        <v>290</v>
      </c>
      <c r="B137" s="19" t="s">
        <v>291</v>
      </c>
      <c r="C137" s="19" t="s">
        <v>27</v>
      </c>
      <c r="D137" s="20">
        <v>91</v>
      </c>
      <c r="E137" s="20">
        <v>21</v>
      </c>
      <c r="F137" s="20">
        <v>59</v>
      </c>
      <c r="G137" s="20">
        <v>85</v>
      </c>
      <c r="H137" s="20">
        <v>60</v>
      </c>
      <c r="I137" s="22">
        <f t="shared" si="6"/>
        <v>316</v>
      </c>
      <c r="J137" s="22">
        <v>500</v>
      </c>
      <c r="K137" s="23">
        <f t="shared" si="7"/>
        <v>0.632</v>
      </c>
      <c r="L137" s="24">
        <f t="shared" si="8"/>
        <v>0.368</v>
      </c>
    </row>
    <row r="138" spans="1:12">
      <c r="A138" s="19" t="s">
        <v>292</v>
      </c>
      <c r="B138" s="19" t="s">
        <v>293</v>
      </c>
      <c r="C138" s="19" t="s">
        <v>53</v>
      </c>
      <c r="D138" s="20">
        <v>73</v>
      </c>
      <c r="E138" s="20">
        <v>67</v>
      </c>
      <c r="F138" s="20">
        <v>49</v>
      </c>
      <c r="G138" s="20">
        <v>56</v>
      </c>
      <c r="H138" s="20">
        <v>43</v>
      </c>
      <c r="I138" s="22">
        <f t="shared" si="6"/>
        <v>288</v>
      </c>
      <c r="J138" s="22">
        <v>500</v>
      </c>
      <c r="K138" s="23">
        <f t="shared" si="7"/>
        <v>0.576</v>
      </c>
      <c r="L138" s="24">
        <f t="shared" si="8"/>
        <v>0.424</v>
      </c>
    </row>
    <row r="139" spans="1:12">
      <c r="A139" s="19" t="s">
        <v>294</v>
      </c>
      <c r="B139" s="19" t="s">
        <v>295</v>
      </c>
      <c r="C139" s="19" t="s">
        <v>45</v>
      </c>
      <c r="D139" s="20">
        <v>72</v>
      </c>
      <c r="E139" s="20">
        <v>49</v>
      </c>
      <c r="F139" s="20">
        <v>93</v>
      </c>
      <c r="G139" s="20">
        <v>95</v>
      </c>
      <c r="H139" s="20">
        <v>73</v>
      </c>
      <c r="I139" s="22">
        <f t="shared" si="6"/>
        <v>382</v>
      </c>
      <c r="J139" s="22">
        <v>500</v>
      </c>
      <c r="K139" s="23">
        <f t="shared" si="7"/>
        <v>0.764</v>
      </c>
      <c r="L139" s="24">
        <f t="shared" si="8"/>
        <v>0.236</v>
      </c>
    </row>
    <row r="140" spans="1:12">
      <c r="A140" s="19" t="s">
        <v>296</v>
      </c>
      <c r="B140" s="19" t="s">
        <v>297</v>
      </c>
      <c r="C140" s="19" t="s">
        <v>27</v>
      </c>
      <c r="D140" s="20">
        <v>85</v>
      </c>
      <c r="E140" s="20">
        <v>43</v>
      </c>
      <c r="F140" s="20">
        <v>74</v>
      </c>
      <c r="G140" s="20">
        <v>26</v>
      </c>
      <c r="H140" s="20">
        <v>88</v>
      </c>
      <c r="I140" s="22">
        <f t="shared" si="6"/>
        <v>316</v>
      </c>
      <c r="J140" s="22">
        <v>500</v>
      </c>
      <c r="K140" s="23">
        <f t="shared" si="7"/>
        <v>0.632</v>
      </c>
      <c r="L140" s="24">
        <f t="shared" si="8"/>
        <v>0.368</v>
      </c>
    </row>
    <row r="141" spans="1:12">
      <c r="A141" s="19" t="s">
        <v>298</v>
      </c>
      <c r="B141" s="19" t="s">
        <v>299</v>
      </c>
      <c r="C141" s="19" t="s">
        <v>24</v>
      </c>
      <c r="D141" s="20">
        <v>77</v>
      </c>
      <c r="E141" s="20">
        <v>81</v>
      </c>
      <c r="F141" s="20">
        <v>10</v>
      </c>
      <c r="G141" s="20">
        <v>65</v>
      </c>
      <c r="H141" s="20">
        <v>83</v>
      </c>
      <c r="I141" s="22">
        <f t="shared" si="6"/>
        <v>316</v>
      </c>
      <c r="J141" s="22">
        <v>500</v>
      </c>
      <c r="K141" s="23">
        <f t="shared" si="7"/>
        <v>0.632</v>
      </c>
      <c r="L141" s="24">
        <f t="shared" si="8"/>
        <v>0.368</v>
      </c>
    </row>
    <row r="142" spans="1:12">
      <c r="A142" s="19" t="s">
        <v>300</v>
      </c>
      <c r="B142" s="19" t="s">
        <v>301</v>
      </c>
      <c r="C142" s="19" t="s">
        <v>48</v>
      </c>
      <c r="D142" s="20">
        <v>46</v>
      </c>
      <c r="E142" s="20">
        <v>52</v>
      </c>
      <c r="F142" s="20">
        <v>57</v>
      </c>
      <c r="G142" s="20">
        <v>67</v>
      </c>
      <c r="H142" s="20">
        <v>64</v>
      </c>
      <c r="I142" s="22">
        <f t="shared" si="6"/>
        <v>286</v>
      </c>
      <c r="J142" s="22">
        <v>500</v>
      </c>
      <c r="K142" s="23">
        <f t="shared" si="7"/>
        <v>0.572</v>
      </c>
      <c r="L142" s="24">
        <f t="shared" si="8"/>
        <v>0.428</v>
      </c>
    </row>
    <row r="143" spans="1:1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25"/>
      <c r="L143" s="25"/>
    </row>
    <row r="144" spans="2:12">
      <c r="B144" s="16"/>
      <c r="D144" s="16"/>
      <c r="E144" s="16"/>
      <c r="F144" s="16"/>
      <c r="G144" s="16"/>
      <c r="H144" s="16"/>
      <c r="I144" s="16"/>
      <c r="J144" s="16"/>
      <c r="K144" s="26"/>
      <c r="L144" s="26"/>
    </row>
    <row r="145" spans="2:12">
      <c r="B145" s="16"/>
      <c r="D145" s="16"/>
      <c r="E145" s="16"/>
      <c r="F145" s="16"/>
      <c r="G145" s="16"/>
      <c r="H145" s="16"/>
      <c r="I145" s="16"/>
      <c r="J145" s="16"/>
      <c r="K145" s="26"/>
      <c r="L145" s="26"/>
    </row>
    <row r="146" spans="2:12">
      <c r="B146" s="16"/>
      <c r="D146" s="16"/>
      <c r="E146" s="16"/>
      <c r="F146" s="16"/>
      <c r="G146" s="16"/>
      <c r="H146" s="16"/>
      <c r="I146" s="16"/>
      <c r="J146" s="16"/>
      <c r="K146" s="26"/>
      <c r="L146" s="26"/>
    </row>
    <row r="147" spans="2:12">
      <c r="B147" s="16"/>
      <c r="D147" s="16"/>
      <c r="E147" s="16"/>
      <c r="F147" s="16"/>
      <c r="G147" s="16"/>
      <c r="H147" s="16"/>
      <c r="I147" s="16"/>
      <c r="J147" s="16"/>
      <c r="K147" s="26"/>
      <c r="L147" s="26"/>
    </row>
    <row r="148" spans="2:12">
      <c r="B148" s="16"/>
      <c r="D148" s="16"/>
      <c r="E148" s="16"/>
      <c r="F148" s="16"/>
      <c r="G148" s="16"/>
      <c r="H148" s="16"/>
      <c r="I148" s="16"/>
      <c r="J148" s="16"/>
      <c r="K148" s="26"/>
      <c r="L148" s="26"/>
    </row>
    <row r="149" spans="2:12">
      <c r="B149" s="16"/>
      <c r="D149" s="16"/>
      <c r="E149" s="16"/>
      <c r="F149" s="16"/>
      <c r="G149" s="16"/>
      <c r="H149" s="16"/>
      <c r="I149" s="16"/>
      <c r="J149" s="16"/>
      <c r="K149" s="26"/>
      <c r="L149" s="26"/>
    </row>
    <row r="150" spans="2:12">
      <c r="B150" s="16"/>
      <c r="D150" s="16"/>
      <c r="E150" s="16"/>
      <c r="F150" s="16"/>
      <c r="G150" s="16"/>
      <c r="H150" s="16"/>
      <c r="I150" s="16"/>
      <c r="J150" s="16"/>
      <c r="K150" s="26"/>
      <c r="L150" s="26"/>
    </row>
    <row r="151" spans="2:12">
      <c r="B151" s="16"/>
      <c r="D151" s="16"/>
      <c r="E151" s="16"/>
      <c r="F151" s="16"/>
      <c r="G151" s="16"/>
      <c r="H151" s="16"/>
      <c r="I151" s="16"/>
      <c r="J151" s="16"/>
      <c r="K151" s="26"/>
      <c r="L151" s="26"/>
    </row>
    <row r="152" spans="2:12">
      <c r="B152" s="16"/>
      <c r="D152" s="16"/>
      <c r="E152" s="16"/>
      <c r="F152" s="16"/>
      <c r="G152" s="16"/>
      <c r="H152" s="16"/>
      <c r="I152" s="16"/>
      <c r="J152" s="16"/>
      <c r="K152" s="26"/>
      <c r="L152" s="26"/>
    </row>
    <row r="153" spans="2:12">
      <c r="B153" s="16"/>
      <c r="D153" s="16"/>
      <c r="E153" s="16"/>
      <c r="F153" s="16"/>
      <c r="G153" s="16"/>
      <c r="H153" s="16"/>
      <c r="I153" s="16"/>
      <c r="J153" s="16"/>
      <c r="K153" s="26"/>
      <c r="L153" s="26"/>
    </row>
    <row r="154" spans="2:12">
      <c r="B154" s="16"/>
      <c r="D154" s="16"/>
      <c r="E154" s="16"/>
      <c r="F154" s="16"/>
      <c r="G154" s="16"/>
      <c r="H154" s="16"/>
      <c r="I154" s="16"/>
      <c r="J154" s="16"/>
      <c r="K154" s="26"/>
      <c r="L154" s="26"/>
    </row>
    <row r="155" spans="2:12">
      <c r="B155" s="16"/>
      <c r="D155" s="16"/>
      <c r="E155" s="16"/>
      <c r="F155" s="16"/>
      <c r="G155" s="16"/>
      <c r="H155" s="16"/>
      <c r="I155" s="16"/>
      <c r="J155" s="16"/>
      <c r="K155" s="26"/>
      <c r="L155" s="26"/>
    </row>
    <row r="156" spans="2:12">
      <c r="B156" s="16"/>
      <c r="D156" s="16"/>
      <c r="E156" s="16"/>
      <c r="F156" s="16"/>
      <c r="G156" s="16"/>
      <c r="H156" s="16"/>
      <c r="I156" s="16"/>
      <c r="J156" s="16"/>
      <c r="K156" s="26"/>
      <c r="L156" s="26"/>
    </row>
    <row r="157" spans="2:12">
      <c r="B157" s="16"/>
      <c r="D157" s="16"/>
      <c r="E157" s="16"/>
      <c r="F157" s="16"/>
      <c r="G157" s="16"/>
      <c r="H157" s="16"/>
      <c r="I157" s="16"/>
      <c r="J157" s="16"/>
      <c r="K157" s="26"/>
      <c r="L157" s="26"/>
    </row>
    <row r="158" spans="2:12">
      <c r="B158" s="16"/>
      <c r="D158" s="16"/>
      <c r="E158" s="16"/>
      <c r="F158" s="16"/>
      <c r="G158" s="16"/>
      <c r="H158" s="16"/>
      <c r="I158" s="16"/>
      <c r="J158" s="16"/>
      <c r="K158" s="26"/>
      <c r="L158" s="26"/>
    </row>
    <row r="159" spans="2:12">
      <c r="B159" s="16"/>
      <c r="D159" s="16"/>
      <c r="E159" s="16"/>
      <c r="F159" s="16"/>
      <c r="G159" s="16"/>
      <c r="H159" s="16"/>
      <c r="I159" s="16"/>
      <c r="J159" s="16"/>
      <c r="K159" s="26"/>
      <c r="L159" s="26"/>
    </row>
    <row r="160" spans="2:12">
      <c r="B160" s="16"/>
      <c r="D160" s="16"/>
      <c r="E160" s="16"/>
      <c r="F160" s="16"/>
      <c r="G160" s="16"/>
      <c r="H160" s="16"/>
      <c r="I160" s="16"/>
      <c r="J160" s="16"/>
      <c r="K160" s="26"/>
      <c r="L160" s="26"/>
    </row>
    <row r="161" spans="2:12">
      <c r="B161" s="16"/>
      <c r="D161" s="16"/>
      <c r="E161" s="16"/>
      <c r="F161" s="16"/>
      <c r="G161" s="16"/>
      <c r="H161" s="16"/>
      <c r="I161" s="16"/>
      <c r="J161" s="16"/>
      <c r="K161" s="26"/>
      <c r="L161" s="26"/>
    </row>
    <row r="162" spans="2:12">
      <c r="B162" s="16"/>
      <c r="D162" s="16"/>
      <c r="E162" s="16"/>
      <c r="F162" s="16"/>
      <c r="G162" s="16"/>
      <c r="H162" s="16"/>
      <c r="I162" s="16"/>
      <c r="J162" s="16"/>
      <c r="K162" s="26"/>
      <c r="L162" s="26"/>
    </row>
    <row r="163" spans="2:12">
      <c r="B163" s="16"/>
      <c r="D163" s="16"/>
      <c r="E163" s="16"/>
      <c r="F163" s="16"/>
      <c r="G163" s="16"/>
      <c r="H163" s="16"/>
      <c r="I163" s="16"/>
      <c r="J163" s="16"/>
      <c r="K163" s="26"/>
      <c r="L163" s="26"/>
    </row>
    <row r="164" spans="2:12">
      <c r="B164" s="16"/>
      <c r="D164" s="16"/>
      <c r="E164" s="16"/>
      <c r="F164" s="16"/>
      <c r="G164" s="16"/>
      <c r="H164" s="16"/>
      <c r="I164" s="16"/>
      <c r="J164" s="16"/>
      <c r="K164" s="26"/>
      <c r="L164" s="26"/>
    </row>
    <row r="165" spans="2:12">
      <c r="B165" s="16"/>
      <c r="D165" s="16"/>
      <c r="E165" s="16"/>
      <c r="F165" s="16"/>
      <c r="G165" s="16"/>
      <c r="H165" s="16"/>
      <c r="I165" s="16"/>
      <c r="J165" s="16"/>
      <c r="K165" s="26"/>
      <c r="L165" s="26"/>
    </row>
    <row r="166" spans="2:12">
      <c r="B166" s="16"/>
      <c r="D166" s="16"/>
      <c r="E166" s="16"/>
      <c r="F166" s="16"/>
      <c r="G166" s="16"/>
      <c r="H166" s="16"/>
      <c r="I166" s="16"/>
      <c r="J166" s="16"/>
      <c r="K166" s="26"/>
      <c r="L166" s="26"/>
    </row>
    <row r="167" spans="2:12">
      <c r="B167" s="16"/>
      <c r="D167" s="16"/>
      <c r="E167" s="16"/>
      <c r="F167" s="16"/>
      <c r="G167" s="16"/>
      <c r="H167" s="16"/>
      <c r="I167" s="16"/>
      <c r="J167" s="16"/>
      <c r="K167" s="26"/>
      <c r="L167" s="26"/>
    </row>
    <row r="168" spans="2:12">
      <c r="B168" s="16"/>
      <c r="D168" s="16"/>
      <c r="E168" s="16"/>
      <c r="F168" s="16"/>
      <c r="G168" s="16"/>
      <c r="H168" s="16"/>
      <c r="I168" s="16"/>
      <c r="J168" s="16"/>
      <c r="K168" s="26"/>
      <c r="L168" s="26"/>
    </row>
    <row r="169" spans="2:12">
      <c r="B169" s="16"/>
      <c r="D169" s="16"/>
      <c r="E169" s="16"/>
      <c r="F169" s="16"/>
      <c r="G169" s="16"/>
      <c r="H169" s="16"/>
      <c r="I169" s="16"/>
      <c r="J169" s="16"/>
      <c r="K169" s="26"/>
      <c r="L169" s="26"/>
    </row>
    <row r="170" spans="2:12">
      <c r="B170" s="16"/>
      <c r="D170" s="16"/>
      <c r="E170" s="16"/>
      <c r="F170" s="16"/>
      <c r="G170" s="16"/>
      <c r="H170" s="16"/>
      <c r="I170" s="16"/>
      <c r="J170" s="16"/>
      <c r="K170" s="26"/>
      <c r="L170" s="26"/>
    </row>
    <row r="171" spans="2:12">
      <c r="B171" s="16"/>
      <c r="D171" s="16"/>
      <c r="E171" s="16"/>
      <c r="F171" s="16"/>
      <c r="G171" s="16"/>
      <c r="H171" s="16"/>
      <c r="I171" s="16"/>
      <c r="J171" s="16"/>
      <c r="K171" s="26"/>
      <c r="L171" s="26"/>
    </row>
    <row r="172" spans="2:12">
      <c r="B172" s="16"/>
      <c r="D172" s="16"/>
      <c r="E172" s="16"/>
      <c r="F172" s="16"/>
      <c r="G172" s="16"/>
      <c r="H172" s="16"/>
      <c r="I172" s="16"/>
      <c r="J172" s="16"/>
      <c r="K172" s="26"/>
      <c r="L172" s="26"/>
    </row>
    <row r="173" spans="2:12">
      <c r="B173" s="16"/>
      <c r="D173" s="16"/>
      <c r="E173" s="16"/>
      <c r="F173" s="16"/>
      <c r="G173" s="16"/>
      <c r="H173" s="16"/>
      <c r="I173" s="16"/>
      <c r="J173" s="16"/>
      <c r="K173" s="26"/>
      <c r="L173" s="26"/>
    </row>
    <row r="174" spans="2:12">
      <c r="B174" s="16"/>
      <c r="D174" s="16"/>
      <c r="E174" s="16"/>
      <c r="F174" s="16"/>
      <c r="G174" s="16"/>
      <c r="H174" s="16"/>
      <c r="I174" s="16"/>
      <c r="J174" s="16"/>
      <c r="K174" s="26"/>
      <c r="L174" s="26"/>
    </row>
    <row r="175" spans="2:12">
      <c r="B175" s="16"/>
      <c r="D175" s="16"/>
      <c r="E175" s="16"/>
      <c r="F175" s="16"/>
      <c r="G175" s="16"/>
      <c r="H175" s="16"/>
      <c r="I175" s="16"/>
      <c r="J175" s="16"/>
      <c r="K175" s="26"/>
      <c r="L175" s="26"/>
    </row>
    <row r="176" spans="2:12">
      <c r="B176" s="16"/>
      <c r="D176" s="16"/>
      <c r="E176" s="16"/>
      <c r="F176" s="16"/>
      <c r="G176" s="16"/>
      <c r="H176" s="16"/>
      <c r="I176" s="16"/>
      <c r="J176" s="16"/>
      <c r="K176" s="26"/>
      <c r="L176" s="26"/>
    </row>
    <row r="177" spans="2:12">
      <c r="B177" s="16"/>
      <c r="D177" s="16"/>
      <c r="E177" s="16"/>
      <c r="F177" s="16"/>
      <c r="G177" s="16"/>
      <c r="H177" s="16"/>
      <c r="I177" s="16"/>
      <c r="J177" s="16"/>
      <c r="K177" s="26"/>
      <c r="L177" s="26"/>
    </row>
    <row r="178" spans="2:12">
      <c r="B178" s="16"/>
      <c r="D178" s="16"/>
      <c r="E178" s="16"/>
      <c r="F178" s="16"/>
      <c r="G178" s="16"/>
      <c r="H178" s="16"/>
      <c r="I178" s="16"/>
      <c r="J178" s="16"/>
      <c r="K178" s="26"/>
      <c r="L178" s="26"/>
    </row>
    <row r="179" spans="2:12">
      <c r="B179" s="16"/>
      <c r="D179" s="16"/>
      <c r="E179" s="16"/>
      <c r="F179" s="16"/>
      <c r="G179" s="16"/>
      <c r="H179" s="16"/>
      <c r="I179" s="16"/>
      <c r="J179" s="16"/>
      <c r="K179" s="26"/>
      <c r="L179" s="26"/>
    </row>
    <row r="180" spans="2:12">
      <c r="B180" s="16"/>
      <c r="D180" s="16"/>
      <c r="E180" s="16"/>
      <c r="F180" s="16"/>
      <c r="G180" s="16"/>
      <c r="H180" s="16"/>
      <c r="I180" s="16"/>
      <c r="J180" s="16"/>
      <c r="K180" s="26"/>
      <c r="L180" s="26"/>
    </row>
    <row r="181" spans="2:12">
      <c r="B181" s="16"/>
      <c r="D181" s="16"/>
      <c r="E181" s="16"/>
      <c r="F181" s="16"/>
      <c r="G181" s="16"/>
      <c r="H181" s="16"/>
      <c r="I181" s="16"/>
      <c r="J181" s="16"/>
      <c r="K181" s="26"/>
      <c r="L181" s="26"/>
    </row>
    <row r="182" spans="2:12">
      <c r="B182" s="16"/>
      <c r="D182" s="16"/>
      <c r="E182" s="16"/>
      <c r="F182" s="16"/>
      <c r="G182" s="16"/>
      <c r="H182" s="16"/>
      <c r="I182" s="16"/>
      <c r="J182" s="16"/>
      <c r="K182" s="26"/>
      <c r="L182" s="26"/>
    </row>
    <row r="183" spans="2:12">
      <c r="B183" s="16"/>
      <c r="D183" s="16"/>
      <c r="E183" s="16"/>
      <c r="F183" s="16"/>
      <c r="G183" s="16"/>
      <c r="H183" s="16"/>
      <c r="I183" s="16"/>
      <c r="J183" s="16"/>
      <c r="K183" s="26"/>
      <c r="L183" s="26"/>
    </row>
    <row r="184" spans="2:12">
      <c r="B184" s="16"/>
      <c r="D184" s="16"/>
      <c r="E184" s="16"/>
      <c r="F184" s="16"/>
      <c r="G184" s="16"/>
      <c r="H184" s="16"/>
      <c r="I184" s="16"/>
      <c r="J184" s="16"/>
      <c r="K184" s="26"/>
      <c r="L184" s="26"/>
    </row>
    <row r="185" spans="2:12">
      <c r="B185" s="16"/>
      <c r="D185" s="16"/>
      <c r="E185" s="16"/>
      <c r="F185" s="16"/>
      <c r="G185" s="16"/>
      <c r="H185" s="16"/>
      <c r="I185" s="16"/>
      <c r="J185" s="16"/>
      <c r="K185" s="26"/>
      <c r="L185" s="26"/>
    </row>
    <row r="186" spans="2:12">
      <c r="B186" s="16"/>
      <c r="D186" s="16"/>
      <c r="E186" s="16"/>
      <c r="F186" s="16"/>
      <c r="G186" s="16"/>
      <c r="H186" s="16"/>
      <c r="I186" s="16"/>
      <c r="J186" s="16"/>
      <c r="K186" s="26"/>
      <c r="L186" s="26"/>
    </row>
    <row r="187" spans="2:12">
      <c r="B187" s="16"/>
      <c r="D187" s="16"/>
      <c r="E187" s="16"/>
      <c r="F187" s="16"/>
      <c r="G187" s="16"/>
      <c r="H187" s="16"/>
      <c r="I187" s="16"/>
      <c r="J187" s="16"/>
      <c r="K187" s="26"/>
      <c r="L187" s="26"/>
    </row>
    <row r="188" spans="2:12">
      <c r="B188" s="16"/>
      <c r="D188" s="16"/>
      <c r="E188" s="16"/>
      <c r="F188" s="16"/>
      <c r="G188" s="16"/>
      <c r="H188" s="16"/>
      <c r="I188" s="16"/>
      <c r="J188" s="16"/>
      <c r="K188" s="26"/>
      <c r="L188" s="26"/>
    </row>
    <row r="189" spans="2:12">
      <c r="B189" s="16"/>
      <c r="D189" s="16"/>
      <c r="E189" s="16"/>
      <c r="F189" s="16"/>
      <c r="G189" s="16"/>
      <c r="H189" s="16"/>
      <c r="I189" s="16"/>
      <c r="J189" s="16"/>
      <c r="K189" s="26"/>
      <c r="L189" s="26"/>
    </row>
    <row r="190" spans="2:12">
      <c r="B190" s="16"/>
      <c r="D190" s="16"/>
      <c r="E190" s="16"/>
      <c r="F190" s="16"/>
      <c r="G190" s="16"/>
      <c r="H190" s="16"/>
      <c r="I190" s="16"/>
      <c r="J190" s="16"/>
      <c r="K190" s="26"/>
      <c r="L190" s="26"/>
    </row>
    <row r="191" spans="2:12">
      <c r="B191" s="16"/>
      <c r="D191" s="16"/>
      <c r="E191" s="16"/>
      <c r="F191" s="16"/>
      <c r="G191" s="16"/>
      <c r="H191" s="16"/>
      <c r="I191" s="16"/>
      <c r="J191" s="16"/>
      <c r="K191" s="26"/>
      <c r="L191" s="26"/>
    </row>
    <row r="192" spans="2:12">
      <c r="B192" s="16"/>
      <c r="D192" s="16"/>
      <c r="E192" s="16"/>
      <c r="F192" s="16"/>
      <c r="G192" s="16"/>
      <c r="H192" s="16"/>
      <c r="I192" s="16"/>
      <c r="J192" s="16"/>
      <c r="K192" s="26"/>
      <c r="L192" s="26"/>
    </row>
    <row r="193" spans="2:12">
      <c r="B193" s="16"/>
      <c r="D193" s="16"/>
      <c r="E193" s="16"/>
      <c r="F193" s="16"/>
      <c r="G193" s="16"/>
      <c r="H193" s="16"/>
      <c r="I193" s="16"/>
      <c r="J193" s="16"/>
      <c r="K193" s="26"/>
      <c r="L193" s="26"/>
    </row>
    <row r="194" spans="2:12">
      <c r="B194" s="16"/>
      <c r="D194" s="16"/>
      <c r="E194" s="16"/>
      <c r="F194" s="16"/>
      <c r="G194" s="16"/>
      <c r="H194" s="16"/>
      <c r="I194" s="16"/>
      <c r="J194" s="16"/>
      <c r="K194" s="26"/>
      <c r="L194" s="26"/>
    </row>
    <row r="195" spans="2:12">
      <c r="B195" s="16"/>
      <c r="D195" s="16"/>
      <c r="E195" s="16"/>
      <c r="F195" s="16"/>
      <c r="G195" s="16"/>
      <c r="H195" s="16"/>
      <c r="I195" s="16"/>
      <c r="J195" s="16"/>
      <c r="K195" s="26"/>
      <c r="L195" s="26"/>
    </row>
    <row r="196" spans="2:12">
      <c r="B196" s="16"/>
      <c r="D196" s="16"/>
      <c r="E196" s="16"/>
      <c r="F196" s="16"/>
      <c r="G196" s="16"/>
      <c r="H196" s="16"/>
      <c r="I196" s="16"/>
      <c r="J196" s="16"/>
      <c r="K196" s="26"/>
      <c r="L196" s="26"/>
    </row>
    <row r="197" spans="2:12">
      <c r="B197" s="16"/>
      <c r="D197" s="16"/>
      <c r="E197" s="16"/>
      <c r="F197" s="16"/>
      <c r="G197" s="16"/>
      <c r="H197" s="16"/>
      <c r="I197" s="16"/>
      <c r="J197" s="16"/>
      <c r="K197" s="26"/>
      <c r="L197" s="26"/>
    </row>
    <row r="198" spans="2:12">
      <c r="B198" s="16"/>
      <c r="D198" s="16"/>
      <c r="E198" s="16"/>
      <c r="F198" s="16"/>
      <c r="G198" s="16"/>
      <c r="H198" s="16"/>
      <c r="I198" s="16"/>
      <c r="J198" s="16"/>
      <c r="K198" s="26"/>
      <c r="L198" s="26"/>
    </row>
    <row r="199" spans="2:12">
      <c r="B199" s="16"/>
      <c r="D199" s="16"/>
      <c r="E199" s="16"/>
      <c r="F199" s="16"/>
      <c r="G199" s="16"/>
      <c r="H199" s="16"/>
      <c r="I199" s="16"/>
      <c r="J199" s="16"/>
      <c r="K199" s="26"/>
      <c r="L199" s="26"/>
    </row>
    <row r="200" spans="2:12">
      <c r="B200" s="16"/>
      <c r="D200" s="16"/>
      <c r="E200" s="16"/>
      <c r="F200" s="16"/>
      <c r="G200" s="16"/>
      <c r="H200" s="16"/>
      <c r="I200" s="16"/>
      <c r="J200" s="16"/>
      <c r="K200" s="26"/>
      <c r="L200" s="26"/>
    </row>
    <row r="201" spans="2:12">
      <c r="B201" s="16"/>
      <c r="D201" s="16"/>
      <c r="E201" s="16"/>
      <c r="F201" s="16"/>
      <c r="G201" s="16"/>
      <c r="H201" s="16"/>
      <c r="I201" s="16"/>
      <c r="J201" s="16"/>
      <c r="K201" s="26"/>
      <c r="L201" s="26"/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autoPageBreaks="0"/>
  </sheetPr>
  <dimension ref="A1:K40"/>
  <sheetViews>
    <sheetView tabSelected="1" zoomScale="125" zoomScaleNormal="125" zoomScaleSheetLayoutView="130" workbookViewId="0">
      <selection activeCell="C24" sqref="C24"/>
    </sheetView>
  </sheetViews>
  <sheetFormatPr defaultColWidth="9" defaultRowHeight="14.4"/>
  <cols>
    <col min="1" max="1" width="17.7777777777778" style="1" customWidth="1"/>
    <col min="2" max="2" width="32.6666666666667" style="1" customWidth="1"/>
    <col min="3" max="3" width="1.55555555555556" style="1" customWidth="1"/>
    <col min="4" max="4" width="18.2222222222222" style="1" customWidth="1"/>
    <col min="5" max="5" width="34.5555555555556" style="1" customWidth="1"/>
    <col min="6" max="6" width="1.88888888888889" style="1" customWidth="1"/>
    <col min="7" max="7" width="17.8888888888889" style="1" customWidth="1"/>
    <col min="8" max="8" width="22.6666666666667" style="1" customWidth="1"/>
    <col min="9" max="9" width="1.88888888888889" style="1" customWidth="1"/>
    <col min="10" max="10" width="17.8888888888889" style="1" customWidth="1"/>
    <col min="11" max="11" width="38.6666666666667" style="1" customWidth="1"/>
    <col min="12" max="16384" width="8.88888888888889" style="1"/>
  </cols>
  <sheetData>
    <row r="1" ht="27" customHeight="1" spans="1:11">
      <c r="A1" s="2" t="b">
        <v>0</v>
      </c>
      <c r="B1" s="2"/>
      <c r="C1" s="2"/>
      <c r="D1" s="2" t="b">
        <v>1</v>
      </c>
      <c r="E1" s="2"/>
      <c r="F1" s="2"/>
      <c r="G1" s="2" t="b">
        <v>1</v>
      </c>
      <c r="H1" s="2"/>
      <c r="I1" s="2"/>
      <c r="J1" s="2" t="b">
        <v>1</v>
      </c>
      <c r="K1" s="2"/>
    </row>
    <row r="2" ht="11" customHeight="1" spans="1:11">
      <c r="A2" s="3"/>
      <c r="B2" s="3"/>
      <c r="C2" s="4"/>
      <c r="D2" s="4"/>
      <c r="E2" s="4"/>
      <c r="F2" s="4"/>
      <c r="G2" s="4"/>
      <c r="H2" s="4"/>
      <c r="I2" s="4"/>
      <c r="J2" s="4"/>
      <c r="K2" s="4"/>
    </row>
    <row r="3" spans="1:11">
      <c r="A3" s="5" t="s">
        <v>1</v>
      </c>
      <c r="B3" s="6" t="s">
        <v>302</v>
      </c>
      <c r="C3" s="7"/>
      <c r="D3" s="5" t="s">
        <v>1</v>
      </c>
      <c r="E3" s="6" t="s">
        <v>303</v>
      </c>
      <c r="F3" s="8"/>
      <c r="G3" s="9" t="s">
        <v>1</v>
      </c>
      <c r="H3" s="10" t="s">
        <v>304</v>
      </c>
      <c r="I3" s="14"/>
      <c r="J3" s="9" t="s">
        <v>1</v>
      </c>
      <c r="K3" s="10" t="s">
        <v>305</v>
      </c>
    </row>
    <row r="4" spans="1:11">
      <c r="A4" s="6" t="s">
        <v>13</v>
      </c>
      <c r="B4" s="6">
        <v>339</v>
      </c>
      <c r="C4" s="8"/>
      <c r="D4" s="6" t="s">
        <v>16</v>
      </c>
      <c r="E4" s="6">
        <v>239</v>
      </c>
      <c r="F4" s="8"/>
      <c r="G4" s="10" t="s">
        <v>13</v>
      </c>
      <c r="H4" s="11">
        <v>0.678</v>
      </c>
      <c r="I4" s="15"/>
      <c r="J4" s="10" t="s">
        <v>16</v>
      </c>
      <c r="K4" s="11">
        <v>0.522</v>
      </c>
    </row>
    <row r="5" spans="1:11">
      <c r="A5" s="6" t="s">
        <v>40</v>
      </c>
      <c r="B5" s="6">
        <v>376</v>
      </c>
      <c r="C5" s="8"/>
      <c r="D5" s="6" t="s">
        <v>34</v>
      </c>
      <c r="E5" s="6">
        <v>189</v>
      </c>
      <c r="F5" s="8"/>
      <c r="G5" s="10" t="s">
        <v>40</v>
      </c>
      <c r="H5" s="11">
        <v>0.752</v>
      </c>
      <c r="I5" s="15"/>
      <c r="J5" s="10" t="s">
        <v>34</v>
      </c>
      <c r="K5" s="11">
        <v>0.622</v>
      </c>
    </row>
    <row r="6" spans="1:11">
      <c r="A6" s="6" t="s">
        <v>73</v>
      </c>
      <c r="B6" s="6">
        <v>357</v>
      </c>
      <c r="C6" s="8"/>
      <c r="D6" s="6" t="s">
        <v>165</v>
      </c>
      <c r="E6" s="6">
        <v>143</v>
      </c>
      <c r="F6" s="8"/>
      <c r="G6" s="10" t="s">
        <v>73</v>
      </c>
      <c r="H6" s="11">
        <v>0.714</v>
      </c>
      <c r="I6" s="15"/>
      <c r="J6" s="10" t="s">
        <v>165</v>
      </c>
      <c r="K6" s="11">
        <v>0.714</v>
      </c>
    </row>
    <row r="7" spans="1:11">
      <c r="A7" s="6" t="s">
        <v>117</v>
      </c>
      <c r="B7" s="6">
        <v>292</v>
      </c>
      <c r="C7" s="8"/>
      <c r="D7" s="6" t="s">
        <v>183</v>
      </c>
      <c r="E7" s="6">
        <v>209</v>
      </c>
      <c r="F7" s="8"/>
      <c r="G7" s="10" t="s">
        <v>117</v>
      </c>
      <c r="H7" s="11">
        <v>0.584</v>
      </c>
      <c r="I7" s="15"/>
      <c r="J7" s="10" t="s">
        <v>183</v>
      </c>
      <c r="K7" s="11">
        <v>0.582</v>
      </c>
    </row>
    <row r="8" spans="1:11">
      <c r="A8" s="6" t="s">
        <v>121</v>
      </c>
      <c r="B8" s="6">
        <v>270</v>
      </c>
      <c r="C8" s="8"/>
      <c r="D8" s="6" t="s">
        <v>265</v>
      </c>
      <c r="E8" s="6">
        <v>224</v>
      </c>
      <c r="F8" s="8"/>
      <c r="G8" s="10" t="s">
        <v>121</v>
      </c>
      <c r="H8" s="11">
        <v>0.54</v>
      </c>
      <c r="I8" s="15"/>
      <c r="J8" s="10" t="s">
        <v>265</v>
      </c>
      <c r="K8" s="11">
        <v>0.552</v>
      </c>
    </row>
    <row r="9" spans="3:9">
      <c r="C9" s="8"/>
      <c r="F9" s="8"/>
      <c r="G9"/>
      <c r="H9"/>
      <c r="I9" s="8"/>
    </row>
    <row r="10" spans="3:9">
      <c r="C10" s="8"/>
      <c r="F10" s="8"/>
      <c r="G10"/>
      <c r="H10"/>
      <c r="I10" s="8"/>
    </row>
    <row r="11" spans="2:9">
      <c r="B11" s="12"/>
      <c r="C11" s="8"/>
      <c r="F11" s="8"/>
      <c r="G11"/>
      <c r="H11"/>
      <c r="I11" s="8"/>
    </row>
    <row r="12" spans="3:9">
      <c r="C12" s="8"/>
      <c r="F12" s="8"/>
      <c r="G12"/>
      <c r="H12"/>
      <c r="I12" s="8"/>
    </row>
    <row r="13" spans="3:9">
      <c r="C13" s="8"/>
      <c r="F13" s="8"/>
      <c r="G13"/>
      <c r="H13"/>
      <c r="I13" s="8"/>
    </row>
    <row r="14" spans="3:9">
      <c r="C14" s="8"/>
      <c r="F14" s="8"/>
      <c r="G14"/>
      <c r="H14"/>
      <c r="I14" s="8"/>
    </row>
    <row r="15" spans="3:9">
      <c r="C15" s="8"/>
      <c r="F15" s="8"/>
      <c r="G15"/>
      <c r="H15"/>
      <c r="I15" s="8"/>
    </row>
    <row r="16" spans="3:9">
      <c r="C16" s="8"/>
      <c r="F16" s="8"/>
      <c r="G16"/>
      <c r="H16"/>
      <c r="I16" s="8"/>
    </row>
    <row r="17" spans="1:11">
      <c r="A17" s="8"/>
      <c r="B17" s="8"/>
      <c r="C17" s="8"/>
      <c r="D17" s="8"/>
      <c r="E17" s="8"/>
      <c r="F17" s="8"/>
      <c r="G17"/>
      <c r="H17"/>
      <c r="I17" s="8"/>
      <c r="J17" s="8"/>
      <c r="K17" s="8"/>
    </row>
    <row r="18" spans="1:11">
      <c r="A18" s="8"/>
      <c r="B18" s="8"/>
      <c r="C18" s="8"/>
      <c r="D18" s="8"/>
      <c r="E18" s="8"/>
      <c r="F18" s="8"/>
      <c r="G18" s="13"/>
      <c r="H18" s="13"/>
      <c r="I18" s="8"/>
      <c r="J18" s="8"/>
      <c r="K18" s="8"/>
    </row>
    <row r="19" spans="1:11">
      <c r="A19" s="8"/>
      <c r="B19" s="8"/>
      <c r="C19" s="8"/>
      <c r="D19" s="8"/>
      <c r="E19" s="8"/>
      <c r="F19" s="8"/>
      <c r="G19" s="13"/>
      <c r="H19" s="13"/>
      <c r="I19" s="8"/>
      <c r="J19" s="8"/>
      <c r="K19" s="8"/>
    </row>
    <row r="20" spans="1:11">
      <c r="A20" s="8"/>
      <c r="B20" s="8"/>
      <c r="C20" s="8"/>
      <c r="D20" s="8"/>
      <c r="E20" s="8"/>
      <c r="F20" s="8"/>
      <c r="G20" s="13"/>
      <c r="H20" s="13"/>
      <c r="I20" s="8"/>
      <c r="J20" s="8"/>
      <c r="K20" s="8"/>
    </row>
    <row r="21" spans="1:11">
      <c r="A21" s="8"/>
      <c r="B21" s="8"/>
      <c r="C21" s="8"/>
      <c r="D21" s="8"/>
      <c r="E21" s="8"/>
      <c r="F21" s="8"/>
      <c r="G21" s="13"/>
      <c r="H21" s="13"/>
      <c r="I21" s="8"/>
      <c r="J21" s="8"/>
      <c r="K21" s="8"/>
    </row>
    <row r="22" spans="1:11">
      <c r="A22" s="8"/>
      <c r="B22" s="8"/>
      <c r="C22" s="8"/>
      <c r="D22" s="8"/>
      <c r="E22" s="8"/>
      <c r="F22" s="8"/>
      <c r="G22" s="13"/>
      <c r="H22" s="13"/>
      <c r="I22" s="8"/>
      <c r="J22" s="8"/>
      <c r="K22" s="8"/>
    </row>
    <row r="23" spans="1:11">
      <c r="A23" s="8"/>
      <c r="B23" s="8"/>
      <c r="C23" s="8"/>
      <c r="D23" s="8"/>
      <c r="E23" s="8"/>
      <c r="F23" s="8"/>
      <c r="G23" s="13"/>
      <c r="H23" s="13"/>
      <c r="I23" s="8"/>
      <c r="J23" s="8"/>
      <c r="K23" s="8"/>
    </row>
    <row r="24" spans="1:11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1:11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1:11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1:11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1:1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</row>
    <row r="31" spans="1:11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</row>
    <row r="32" spans="1:11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</row>
    <row r="33" spans="1:11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</row>
    <row r="34" spans="1:11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</row>
    <row r="35" spans="1:11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</row>
    <row r="36" spans="1:11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</row>
    <row r="37" spans="1:1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</row>
    <row r="38" spans="1:11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</row>
    <row r="39" spans="1:11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</row>
    <row r="40" spans="1:11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</row>
  </sheetData>
  <mergeCells count="1">
    <mergeCell ref="G18:H23"/>
  </mergeCells>
  <printOptions gridLines="1"/>
  <pageMargins left="0.7" right="0.7" top="0.75" bottom="0.75" header="0.3" footer="0.3"/>
  <pageSetup paperSize="1" orientation="portrait"/>
  <headerFooter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RAW DATA</vt:lpstr>
      <vt:lpstr>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Huzaif Hamid</cp:lastModifiedBy>
  <dcterms:created xsi:type="dcterms:W3CDTF">2022-05-30T01:30:00Z</dcterms:created>
  <dcterms:modified xsi:type="dcterms:W3CDTF">2025-11-24T17:27:32Z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88947082F6EA4950BDDF195945D8C0E7_12</vt:lpwstr>
  </property>
  <property fmtid="{D5CDD505-2E9C-101B-9397-08002B2CF9AE}" pid="3" name="KSOProductBuildVer">
    <vt:lpwstr>1033-12.2.0.23155</vt:lpwstr>
  </property>
</Properties>
</file>